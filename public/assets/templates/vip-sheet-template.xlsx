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76e6d56208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2a5432f88174b8c"/>
    <x:sheet xmlns:r="http://schemas.openxmlformats.org/officeDocument/2006/relationships" name="Course Setup" sheetId="2" r:id="R9b444e1b976e49d8"/>
    <x:sheet xmlns:r="http://schemas.openxmlformats.org/officeDocument/2006/relationships" name="Deadline Bank" sheetId="3" r:id="Rb50aab50477e487d"/>
    <x:sheet xmlns:r="http://schemas.openxmlformats.org/officeDocument/2006/relationships" name="Weekly Heatmap" sheetId="4" r:id="R34ed3c006a594706"/>
    <x:sheet xmlns:r="http://schemas.openxmlformats.org/officeDocument/2006/relationships" name="Methodology" sheetId="5" r:id="R8a974bb3a14846f0"/>
    <x:sheet xmlns:r="http://schemas.openxmlformats.org/officeDocument/2006/relationships" name="SOS Navigator" sheetId="6" r:id="R5570cdd737bd4654"/>
    <x:sheet xmlns:r="http://schemas.openxmlformats.org/officeDocument/2006/relationships" name="Template Pack" sheetId="7" r:id="R72736c1aa5074456"/>
    <x:sheet xmlns:r="http://schemas.openxmlformats.org/officeDocument/2006/relationships" name="Pilot Timeline" sheetId="8" r:id="R7bf5ea51aae9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01044"/>
      <x:name val="Carlito"/>
    </x:font>
    <x:font>
      <x:b/>
      <x:sz val="11"/>
      <x:color rgb="FFFFFFFF"/>
      <x:name val="Carlito"/>
    </x:font>
    <x:font>
      <x:sz val="11"/>
      <x:color rgb="FF101044"/>
      <x:name val="Carlito"/>
    </x:font>
    <x:font>
      <x:b/>
      <x:sz val="11"/>
      <x:color rgb="FF07008A"/>
      <x:name val="Carlito"/>
    </x:font>
    <x:font>
      <x:b/>
      <x:sz val="11"/>
      <x:color rgb="FF101044"/>
      <x:name val="Carlito"/>
    </x:font>
    <x:font>
      <x:b/>
      <x:sz val="10"/>
      <x:color rgb="FF101044"/>
      <x:name val="Arial"/>
    </x:font>
    <x:font>
      <x:sz val="10"/>
      <x:color rgb="FF101044"/>
      <x:name val="Arial"/>
    </x:font>
    <x:font>
      <x:i/>
      <x:sz val="10"/>
      <x:color rgb="FF101044"/>
      <x:name val="Arial"/>
    </x:font>
    <x:font>
      <x:b/>
      <x:sz val="18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7008A"/>
      </x:patternFill>
    </x:fill>
    <x:fill>
      <x:patternFill patternType="solid">
        <x:fgColor rgb="FFEEF3FF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vertical="top" wrapText="1"/>
    </x:xf>
    <x:xf numFmtId="200" fontId="6" fillId="3" borderId="0" xfId="0" applyNumberFormat="1" applyFont="1" applyFill="1" applyBorder="1" applyAlignment="1">
      <x:alignment vertical="top" wrapText="1"/>
    </x:xf>
    <x:xf numFmtId="200" fontId="6" fillId="3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vertical="top" wrapText="1"/>
    </x:xf>
    <x:xf numFmtId="200" fontId="7" fillId="3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left"/>
    </x:xf>
    <x:xf numFmtId="0" fontId="7" fillId="4" borderId="0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left" vertical="center"/>
    </x:xf>
    <x:xf numFmtId="0" fontId="8" fillId="0" borderId="1" xfId="0" applyNumberFormat="1" applyFont="1" applyFill="1" applyBorder="1"/>
    <x:xf numFmtId="0" fontId="9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vertical="top" wrapText="1"/>
    </x:xf>
    <x:xf numFmtId="200" fontId="7" fillId="3" borderId="1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horizontal="left"/>
    </x:xf>
    <x:xf numFmtId="0" fontId="7" fillId="4" borderId="1" xfId="0" applyNumberFormat="1" applyFont="1" applyFill="1" applyBorder="1" applyAlignment="1">
      <x:alignment vertical="top" wrapText="1"/>
    </x:xf>
    <x:xf numFmtId="0" fontId="8" fillId="4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horizontal="left" vertical="center"/>
    </x:xf>
    <x:xf numFmtId="0" fontId="10" fillId="0" borderId="0" xfId="0" applyNumberFormat="1" applyFont="1" applyFill="1" applyBorder="1"/>
    <x:xf numFmtId="0" fontId="10" fillId="2" borderId="1" xfId="0" applyNumberFormat="1" applyFont="1" applyFill="1" applyBorder="1" applyAlignment="1">
      <x:alignment horizontal="left" vertical="center"/>
    </x:xf>
    <x:xf numFmtId="0" fontId="10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8" fillId="0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 applyAlignment="1">
      <x:alignment wrapText="1"/>
    </x:xf>
    <x:xf numFmtId="200" fontId="8" fillId="0" borderId="1" xfId="0" applyNumberFormat="1" applyFont="1" applyFill="1" applyBorder="1" applyAlignment="1">
      <x:alignment wrapText="1"/>
    </x:xf>
    <x:xf numFmtId="200" fontId="8" fillId="0" borderId="0" xfId="0" applyNumberFormat="1" applyFont="1" applyFill="1" applyBorder="1"/>
    <x:xf numFmtId="200" fontId="8" fillId="0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</x:cellXfs>
  <x:cellStyles count="1">
    <x:cellStyle name="Normal" xfId="0"/>
  </x:cellStyles>
  <x:dxfs count="10">
    <x:dxf>
      <x:fill>
        <x:patternFill patternType="solid">
          <x:bgColor rgb="FFE9F9F1"/>
        </x:patternFill>
      </x:fill>
    </x:dxf>
    <x:dxf>
      <x:fill>
        <x:patternFill patternType="solid">
          <x:bgColor rgb="FFFFF5D9"/>
        </x:patternFill>
      </x:fill>
    </x:dxf>
    <x:dxf>
      <x:fill>
        <x:patternFill patternType="solid">
          <x:bgColor rgb="FFFEECEC"/>
        </x:patternFill>
      </x:fill>
    </x:dxf>
    <x:dxf>
      <x:fill>
        <x:patternFill patternType="solid">
          <x:bgColor rgb="FFFEECEC"/>
        </x:patternFill>
      </x:fill>
    </x:dxf>
    <x:dxf>
      <x:fill>
        <x:patternFill patternType="solid">
          <x:bgColor rgb="FFE9F9F1"/>
        </x:patternFill>
      </x:fill>
    </x:dxf>
    <x:dxf>
      <x:fill>
        <x:patternFill patternType="solid">
          <x:bgColor rgb="FFFFF5D9"/>
        </x:patternFill>
      </x:fill>
    </x:dxf>
    <x:dxf>
      <x:fill>
        <x:patternFill patternType="solid">
          <x:bgColor rgb="FFFEECEC"/>
        </x:patternFill>
      </x:fill>
    </x:dxf>
    <x:dxf>
      <x:fill>
        <x:patternFill patternType="solid">
          <x:bgColor rgb="FFE9F9F1"/>
        </x:patternFill>
      </x:fill>
    </x:dxf>
    <x:dxf>
      <x:fill>
        <x:patternFill patternType="solid">
          <x:bgColor rgb="FFFFF5D9"/>
        </x:patternFill>
      </x:fill>
    </x:dxf>
    <x:dxf>
      <x:fill>
        <x:patternFill patternType="solid">
          <x:bgColor rgb="FFFE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8316375ef44aed" /><Relationship Type="http://schemas.openxmlformats.org/officeDocument/2006/relationships/theme" Target="/xl/theme/theme1.xml" Id="Rbc1d797024214f7f" /><Relationship Type="http://schemas.openxmlformats.org/officeDocument/2006/relationships/sharedStrings" Target="/xl/sharedStrings.xml" Id="R9682534f8c6e46f4" /><Relationship Type="http://schemas.openxmlformats.org/officeDocument/2006/relationships/worksheet" Target="/xl/worksheets/sheet1.xml" Id="R82a5432f88174b8c" /><Relationship Type="http://schemas.openxmlformats.org/officeDocument/2006/relationships/worksheet" Target="/xl/worksheets/sheet2.xml" Id="R9b444e1b976e49d8" /><Relationship Type="http://schemas.openxmlformats.org/officeDocument/2006/relationships/worksheet" Target="/xl/worksheets/sheet3.xml" Id="Rb50aab50477e487d" /><Relationship Type="http://schemas.openxmlformats.org/officeDocument/2006/relationships/worksheet" Target="/xl/worksheets/sheet4.xml" Id="R34ed3c006a594706" /><Relationship Type="http://schemas.openxmlformats.org/officeDocument/2006/relationships/worksheet" Target="/xl/worksheets/sheet5.xml" Id="R8a974bb3a14846f0" /><Relationship Type="http://schemas.openxmlformats.org/officeDocument/2006/relationships/worksheet" Target="/xl/worksheets/sheet6.xml" Id="R5570cdd737bd4654" /><Relationship Type="http://schemas.openxmlformats.org/officeDocument/2006/relationships/worksheet" Target="/xl/worksheets/sheet7.xml" Id="R72736c1aa5074456" /><Relationship Type="http://schemas.openxmlformats.org/officeDocument/2006/relationships/worksheet" Target="/xl/worksheets/sheet8.xml" Id="R7bf5ea51aae94344" /></Relationships>
</file>

<file path=xl/tables/table1.xml><?xml version="1.0" encoding="utf-8"?>
<x:table xmlns:x="http://schemas.openxmlformats.org/spreadsheetml/2006/main" id="1" name="CourseSetupTable" displayName="CourseSetupTable" ref="A4:F10" headerRowCount="1">
  <x:tableColumns count="6">
    <x:tableColumn id="1" name="Course"/>
    <x:tableColumn id="2" name="Instructor"/>
    <x:tableColumn id="3" name="TA / PASS"/>
    <x:tableColumn id="4" name="Office hour"/>
    <x:tableColumn id="5" name="Support channel"/>
    <x:tableColumn id="6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DeadlineBankTable" displayName="DeadlineBankTable" ref="A4:J204" headerRowCount="1">
  <x:tableColumns count="10">
    <x:tableColumn id="1" name="Course"/>
    <x:tableColumn id="2" name="Task"/>
    <x:tableColumn id="3" name="Due Date"/>
    <x:tableColumn id="4" name="Type"/>
    <x:tableColumn id="5" name="Effort Hours"/>
    <x:tableColumn id="6" name="Clarity"/>
    <x:tableColumn id="7" name="Status"/>
    <x:tableColumn id="8" name="Week Start"/>
    <x:tableColumn id="9" name="Type Score"/>
    <x:tableColumn id="10" name="Active"/>
  </x:tableColumns>
  <x:tableStyleInfo name="TableStyleMedium2" showRowStripes="1"/>
</x:table>
</file>

<file path=xl/tables/table3.xml><?xml version="1.0" encoding="utf-8"?>
<x:table xmlns:x="http://schemas.openxmlformats.org/spreadsheetml/2006/main" id="3" name="WeeklyHeatmapTable" displayName="WeeklyHeatmapTable" ref="A4:R20" headerRowCount="1">
  <x:tableColumns count="18">
    <x:tableColumn id="1" name="Week Start"/>
    <x:tableColumn id="2" name="Week Label"/>
    <x:tableColumn id="3" name="Active Deadlines"/>
    <x:tableColumn id="4" name="Assessment Load"/>
    <x:tableColumn id="5" name="Effort Hours"/>
    <x:tableColumn id="6" name="Unclear Tasks"/>
    <x:tableColumn id="7" name="Clustering Points"/>
    <x:tableColumn id="8" name="Effort Points"/>
    <x:tableColumn id="9" name="Clarity Points"/>
    <x:tableColumn id="10" name="Load Score"/>
    <x:tableColumn id="11" name="Level"/>
    <x:tableColumn id="12" name="Mon"/>
    <x:tableColumn id="13" name="Tue"/>
    <x:tableColumn id="14" name="Wed"/>
    <x:tableColumn id="15" name="Thu"/>
    <x:tableColumn id="16" name="Fri"/>
    <x:tableColumn id="17" name="Sat"/>
    <x:tableColumn id="18" name="Sun"/>
  </x:tableColumns>
  <x:tableStyleInfo name="TableStyleMedium2" showRowStripes="1"/>
</x:table>
</file>

<file path=xl/tables/table4.xml><?xml version="1.0" encoding="utf-8"?>
<x:table xmlns:x="http://schemas.openxmlformats.org/spreadsheetml/2006/main" id="4" name="MethodologyTable" displayName="MethodologyTable" ref="A4:D15" headerRowCount="1">
  <x:tableColumns count="4">
    <x:tableColumn id="1" name="Component"/>
    <x:tableColumn id="2" name="Rule"/>
    <x:tableColumn id="3" name="Points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OSNavigatorTable" displayName="SOSNavigatorTable" ref="A4:C9" headerRowCount="1">
  <x:tableColumns count="3">
    <x:tableColumn id="1" name="Situation"/>
    <x:tableColumn id="2" name="First action"/>
    <x:tableColumn id="3" name="Support route"/>
  </x:tableColumns>
  <x:tableStyleInfo name="TableStyleMedium2" showRowStripes="1"/>
</x:table>
</file>

<file path=xl/tables/table6.xml><?xml version="1.0" encoding="utf-8"?>
<x:table xmlns:x="http://schemas.openxmlformats.org/spreadsheetml/2006/main" id="6" name="TemplatePackTable" displayName="TemplatePackTable" ref="A4:B8" headerRowCount="1">
  <x:tableColumns count="2">
    <x:tableColumn id="1" name="Template"/>
    <x:tableColumn id="2" name="Text"/>
  </x:tableColumns>
  <x:tableStyleInfo name="TableStyleMedium2" showRowStripes="1"/>
</x:table>
</file>

<file path=xl/tables/table7.xml><?xml version="1.0" encoding="utf-8"?>
<x:table xmlns:x="http://schemas.openxmlformats.org/spreadsheetml/2006/main" id="7" name="PilotTimelineTable" displayName="PilotTimelineTable" ref="A4:C12" headerRowCount="1">
  <x:tableColumns count="3">
    <x:tableColumn id="1" name="Week"/>
    <x:tableColumn id="2" name="Stage"/>
    <x:tableColumn id="3" name="Activ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7f502264604d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b5d39d5f7b4c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c0f1cda40f142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e5658abc4140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2b5600a7454f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cd53d8711941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c95852676a406e" /></Relationships>
</file>

<file path=xl/worksheets/sheet1.xml><?xml version="1.0" encoding="utf-8"?>
<x:worksheet xmlns:x="http://schemas.openxmlformats.org/spreadsheetml/2006/main">
  <x:sheetFormatPr defaultRowHeight="15"/>
  <x:cols>
    <x:col min="1" max="1" width="48.130001068115234" hidden="0" customWidth="1"/>
    <x:col min="2" max="2" width="80.75" hidden="0" customWidth="1"/>
  </x:cols>
  <x:sheetData>
    <x:row r="1" ht="34" customHeight="1">
      <x:c r="A1" s="74" t="str">
        <x:v>VIP Dashboard</x:v>
      </x:c>
      <x:c r="B1" s="88"/>
      <x:c r="C1" s="88"/>
      <x:c r="D1" s="88"/>
      <x:c r="E1" s="88"/>
      <x:c r="F1" s="88"/>
      <x:c r="G1" s="88"/>
      <x:c r="H1" s="88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See your load early. Plan your week clearly. Ask the right person.</x:v>
      </x:c>
      <x:c r="B2" s="90"/>
      <x:c r="C2" s="90"/>
      <x:c r="D2" s="90"/>
      <x:c r="E2" s="90"/>
      <x:c r="F2" s="90"/>
      <x:c r="G2" s="90"/>
      <x:c r="H2" s="90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61" t="str">
        <x:v>Today</x:v>
      </x:c>
      <x:c r="B4" s="62" t="n">
        <x:v>46189</x:v>
      </x:c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61" t="str">
        <x:v>Current Week Start</x:v>
      </x:c>
      <x:c r="B5" s="62" t="n">
        <x:f>TODAY()-WEEKDAY(TODAY(),2)+1</x:f>
        <x:v>46188</x:v>
      </x:c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61" t="str">
        <x:v>Current Week Level</x:v>
      </x:c>
      <x:c r="B6" s="62" t="str">
        <x:f>IFERROR(INDEX('Weekly Heatmap'!$K$5:$K$20,MATCH($B$5,'Weekly Heatmap'!$A$5:$A$20,0)),"Green")</x:f>
        <x:v>Yellow</x:v>
      </x:c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61" t="str">
        <x:v>Open Deadlines</x:v>
      </x:c>
      <x:c r="B7" s="62" t="n">
        <x:f>SUM('Deadline Bank'!$J$5:$J$204)</x:f>
        <x:v>6</x:v>
      </x:c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61" t="str">
        <x:v>Next Due Date</x:v>
      </x:c>
      <x:c r="B8" s="62" t="n">
        <x:f>IFERROR(MINIFS('Deadline Bank'!$C$5:$C$204,'Deadline Bank'!$J$5:$J$204,1,'Deadline Bank'!$C$5:$C$204,"&gt;="&amp;TODAY()),"")</x:f>
        <x:v>46191</x:v>
      </x:c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63" t="str">
        <x:v>Current Week Action Card</x:v>
      </x:c>
      <x:c r="B10" s="59" t="str"/>
      <x:c r="C10" s="59" t="str"/>
      <x:c r="D10" s="59" t="str"/>
      <x:c r="E10" s="59" t="str"/>
      <x:c r="F10" s="59" t="str"/>
      <x:c r="G10" s="59" t="str"/>
      <x:c r="H10" s="59" t="str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64" t="str">
        <x:v>Green Week</x:v>
      </x:c>
      <x:c r="B11" s="65" t="str">
        <x:v>Maintain routine; review next deadlines; keep one buffer block.</x:v>
      </x:c>
      <x:c r="C11" s="65" t="str"/>
      <x:c r="D11" s="65" t="str"/>
      <x:c r="E11" s="65" t="str"/>
      <x:c r="F11" s="65" t="str"/>
      <x:c r="G11" s="65" t="str"/>
      <x:c r="H11" s="65" t="str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64" t="str">
        <x:v>Yellow Week</x:v>
      </x:c>
      <x:c r="B12" s="65" t="str">
        <x:v>Plan early; choose the highest-risk task; block two focused sessions; ask one clarification question if needed.</x:v>
      </x:c>
      <x:c r="C12" s="65" t="str"/>
      <x:c r="D12" s="65" t="str"/>
      <x:c r="E12" s="65" t="str"/>
      <x:c r="F12" s="65" t="str"/>
      <x:c r="G12" s="65" t="str"/>
      <x:c r="H12" s="65" t="str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64" t="str">
        <x:v>Red Week</x:v>
      </x:c>
      <x:c r="B13" s="65" t="str">
        <x:v>Act within 24-48 hours; triage now; create two focused sessions; use the SOS Navigator.</x:v>
      </x:c>
      <x:c r="C13" s="65" t="str"/>
      <x:c r="D13" s="65" t="str"/>
      <x:c r="E13" s="65" t="str"/>
      <x:c r="F13" s="65" t="str"/>
      <x:c r="G13" s="65" t="str"/>
      <x:c r="H13" s="65" t="str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64" t="str">
        <x:v>Privacy</x:v>
      </x:c>
      <x:c r="B14" s="65" t="str">
        <x:v>Student-owned; no grades, GPA, clinical records, counseling data, or private Canvas analytics.</x:v>
      </x:c>
      <x:c r="C14" s="65" t="str"/>
      <x:c r="D14" s="65" t="str"/>
      <x:c r="E14" s="65" t="str"/>
      <x:c r="F14" s="65" t="str"/>
      <x:c r="G14" s="65" t="str"/>
      <x:c r="H14" s="65" t="str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64" t="str">
        <x:v>Support</x:v>
      </x:c>
      <x:c r="B15" s="65" t="str">
        <x:v>VIP navigates to existing support; it does not replace instructors, advisors, PASS, or wellbeing services.</x:v>
      </x:c>
      <x:c r="C15" s="65" t="str"/>
      <x:c r="D15" s="65" t="str"/>
      <x:c r="E15" s="65" t="str"/>
      <x:c r="F15" s="65" t="str"/>
      <x:c r="G15" s="65" t="str"/>
      <x:c r="H15" s="65" t="str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2.5" hidden="0" customWidth="1"/>
    <x:col min="3" max="3" width="10.25" hidden="0" customWidth="1"/>
    <x:col min="4" max="4" width="11.5" hidden="0" customWidth="1"/>
    <x:col min="5" max="5" width="21.1299991607666" hidden="0" customWidth="1"/>
    <x:col min="6" max="6" width="18.75" hidden="0" customWidth="1"/>
  </x:cols>
  <x:sheetData>
    <x:row r="1" ht="34" customHeight="1">
      <x:c r="A1" s="74" t="str">
        <x:v>VIP Course Setup</x:v>
      </x:c>
      <x:c r="B1" s="88"/>
      <x:c r="C1" s="88"/>
      <x:c r="D1" s="88"/>
      <x:c r="E1" s="88"/>
      <x:c r="F1" s="88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Keep course contacts and support channels in one place.</x:v>
      </x:c>
      <x:c r="B2" s="90"/>
      <x:c r="C2" s="90"/>
      <x:c r="D2" s="90"/>
      <x:c r="E2" s="90"/>
      <x:c r="F2" s="90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Course</x:v>
      </x:c>
      <x:c r="B4" s="80" t="str">
        <x:v>Instructor</x:v>
      </x:c>
      <x:c r="C4" s="80" t="str">
        <x:v>TA / PASS</x:v>
      </x:c>
      <x:c r="D4" s="80" t="str">
        <x:v>Office hour</x:v>
      </x:c>
      <x:c r="E4" s="80" t="str">
        <x:v>Support channel</x:v>
      </x:c>
      <x:c r="F4" s="80" t="str">
        <x:v>Notes</x:v>
      </x:c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81" t="str">
        <x:v>ECON101</x:v>
      </x:c>
      <x:c r="B5" s="81" t="str">
        <x:v>Instructor name</x:v>
      </x:c>
      <x:c r="C5" s="81" t="str">
        <x:v>TA name</x:v>
      </x:c>
      <x:c r="D5" s="81" t="str">
        <x:v>Tue 14:00</x:v>
      </x:c>
      <x:c r="E5" s="81" t="str">
        <x:v>Office hour / TA</x:v>
      </x:c>
      <x:c r="F5" s="81" t="str">
        <x:v>Add syllabus link or note</x:v>
      </x:c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81" t="str">
        <x:v>MATH102</x:v>
      </x:c>
      <x:c r="B6" s="81" t="str">
        <x:v>Instructor name</x:v>
      </x:c>
      <x:c r="C6" s="81" t="str">
        <x:v>TA name</x:v>
      </x:c>
      <x:c r="D6" s="81" t="str">
        <x:v>Wed 10:00</x:v>
      </x:c>
      <x:c r="E6" s="81" t="str">
        <x:v>PASS / Office hour</x:v>
      </x:c>
      <x:c r="F6" s="81" t="str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81" t="str">
        <x:v>WRIT101</x:v>
      </x:c>
      <x:c r="B7" s="81" t="str">
        <x:v>Instructor name</x:v>
      </x:c>
      <x:c r="C7" s="81" t="str">
        <x:v>TA name</x:v>
      </x:c>
      <x:c r="D7" s="81" t="str">
        <x:v>Thu 15:00</x:v>
      </x:c>
      <x:c r="E7" s="81" t="str">
        <x:v>Instructor / Writing support</x:v>
      </x:c>
      <x:c r="F7" s="81" t="str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81" t="str">
        <x:v>COMP101</x:v>
      </x:c>
      <x:c r="B8" s="81" t="str">
        <x:v>Instructor name</x:v>
      </x:c>
      <x:c r="C8" s="81" t="str">
        <x:v>TA name</x:v>
      </x:c>
      <x:c r="D8" s="81" t="str">
        <x:v>Fri 11:00</x:v>
      </x:c>
      <x:c r="E8" s="81" t="str">
        <x:v>TA / PASS</x:v>
      </x:c>
      <x:c r="F8" s="81" t="str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81" t="str"/>
      <x:c r="B9" s="81" t="str"/>
      <x:c r="C9" s="81" t="str"/>
      <x:c r="D9" s="81" t="str"/>
      <x:c r="E9" s="81" t="str"/>
      <x:c r="F9" s="81" t="str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81" t="str"/>
      <x:c r="B10" s="81" t="str"/>
      <x:c r="C10" s="81" t="str"/>
      <x:c r="D10" s="81" t="str"/>
      <x:c r="E10" s="81" t="str"/>
      <x:c r="F10" s="81" t="str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27f502264604d6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24" hidden="0" customWidth="1"/>
    <x:col min="3" max="3" width="10.130000114440918" hidden="0" customWidth="1"/>
    <x:col min="4" max="4" width="12.25" hidden="0" customWidth="1"/>
    <x:col min="5" max="5" width="12.130000114440918" hidden="0" customWidth="1"/>
    <x:col min="6" max="6" width="10.880000114440918" hidden="0" customWidth="1"/>
    <x:col min="7" max="7" width="10.75" hidden="0" customWidth="1"/>
    <x:col min="8" max="8" width="11.5" hidden="0" customWidth="1"/>
    <x:col min="9" max="9" width="11.25" hidden="0" customWidth="1"/>
    <x:col min="10" max="10" width="7.75" hidden="0" customWidth="1"/>
  </x:cols>
  <x:sheetData>
    <x:row r="1" ht="34" customHeight="1">
      <x:c r="A1" s="74" t="str">
        <x:v>VIP Deadline Bank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Enter tasks from syllabus with due date, type, weight/effort, clarity, and status.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Course</x:v>
      </x:c>
      <x:c r="B4" s="80" t="str">
        <x:v>Task</x:v>
      </x:c>
      <x:c r="C4" s="80" t="str">
        <x:v>Due Date</x:v>
      </x:c>
      <x:c r="D4" s="80" t="str">
        <x:v>Type</x:v>
      </x:c>
      <x:c r="E4" s="80" t="str">
        <x:v>Effort Hours</x:v>
      </x:c>
      <x:c r="F4" s="80" t="str">
        <x:v>Clarity</x:v>
      </x:c>
      <x:c r="G4" s="80" t="str">
        <x:v>Status</x:v>
      </x:c>
      <x:c r="H4" s="80" t="str">
        <x:v>Week Start</x:v>
      </x:c>
      <x:c r="I4" s="80" t="str">
        <x:v>Type Score</x:v>
      </x:c>
      <x:c r="J4" s="80" t="str">
        <x:v>Active</x:v>
      </x:c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81" t="str">
        <x:v>ECON101</x:v>
      </x:c>
      <x:c r="B5" s="81" t="str">
        <x:v>Reading response</x:v>
      </x:c>
      <x:c r="C5" s="84" t="n">
        <x:v>46189</x:v>
      </x:c>
      <x:c r="D5" s="81" t="str">
        <x:v>Small task</x:v>
      </x:c>
      <x:c r="E5" s="81" t="n">
        <x:v>2</x:v>
      </x:c>
      <x:c r="F5" s="81" t="str">
        <x:v>Clear</x:v>
      </x:c>
      <x:c r="G5" s="81" t="str">
        <x:v>Done</x:v>
      </x:c>
      <x:c r="H5" s="84" t="n">
        <x:f>IF(C5="","",C5-WEEKDAY(C5,2)+1)</x:f>
        <x:v>46188</x:v>
      </x:c>
      <x:c r="I5" s="81" t="n">
        <x:f>IF(D5="Small task",1,IF(D5="Medium task",2,IF(D5="Large task",3,0)))</x:f>
        <x:v>1</x:v>
      </x:c>
      <x:c r="J5" s="81" t="n">
        <x:f>IF(AND(A5&lt;&gt;"",G5&lt;&gt;"Done"),1,0)</x:f>
        <x:v>0</x:v>
      </x:c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81" t="str">
        <x:v>MATH102</x:v>
      </x:c>
      <x:c r="B6" s="81" t="str">
        <x:v>Problem Set 2</x:v>
      </x:c>
      <x:c r="C6" s="84" t="n">
        <x:v>46191</x:v>
      </x:c>
      <x:c r="D6" s="81" t="str">
        <x:v>Medium task</x:v>
      </x:c>
      <x:c r="E6" s="81" t="n">
        <x:v>5</x:v>
      </x:c>
      <x:c r="F6" s="81" t="str">
        <x:v>Partly clear</x:v>
      </x:c>
      <x:c r="G6" s="81" t="str">
        <x:v>In progress</x:v>
      </x:c>
      <x:c r="H6" s="84" t="n">
        <x:f>IF(C6="","",C6-WEEKDAY(C6,2)+1)</x:f>
        <x:v>46188</x:v>
      </x:c>
      <x:c r="I6" s="81" t="n">
        <x:f>IF(D6="Small task",1,IF(D6="Medium task",2,IF(D6="Large task",3,0)))</x:f>
        <x:v>2</x:v>
      </x:c>
      <x:c r="J6" s="81" t="n">
        <x:f>IF(AND(A6&lt;&gt;"",G6&lt;&gt;"Done"),1,0)</x:f>
        <x:v>1</x:v>
      </x:c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81" t="str">
        <x:v>WRIT101</x:v>
      </x:c>
      <x:c r="B7" s="81" t="str">
        <x:v>Essay outline</x:v>
      </x:c>
      <x:c r="C7" s="84" t="n">
        <x:v>46192</x:v>
      </x:c>
      <x:c r="D7" s="81" t="str">
        <x:v>Medium task</x:v>
      </x:c>
      <x:c r="E7" s="81" t="n">
        <x:v>4</x:v>
      </x:c>
      <x:c r="F7" s="81" t="str">
        <x:v>Unclear</x:v>
      </x:c>
      <x:c r="G7" s="81" t="str">
        <x:v>Open</x:v>
      </x:c>
      <x:c r="H7" s="84" t="n">
        <x:f>IF(C7="","",C7-WEEKDAY(C7,2)+1)</x:f>
        <x:v>46188</x:v>
      </x:c>
      <x:c r="I7" s="81" t="n">
        <x:f>IF(D7="Small task",1,IF(D7="Medium task",2,IF(D7="Large task",3,0)))</x:f>
        <x:v>2</x:v>
      </x:c>
      <x:c r="J7" s="81" t="n">
        <x:f>IF(AND(A7&lt;&gt;"",G7&lt;&gt;"Done"),1,0)</x:f>
        <x:v>1</x:v>
      </x:c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81" t="str">
        <x:v>COMP101</x:v>
      </x:c>
      <x:c r="B8" s="81" t="str">
        <x:v>Lab report</x:v>
      </x:c>
      <x:c r="C8" s="84" t="n">
        <x:v>46197</x:v>
      </x:c>
      <x:c r="D8" s="81" t="str">
        <x:v>Medium task</x:v>
      </x:c>
      <x:c r="E8" s="81" t="n">
        <x:v>5</x:v>
      </x:c>
      <x:c r="F8" s="81" t="str">
        <x:v>Clear</x:v>
      </x:c>
      <x:c r="G8" s="81" t="str">
        <x:v>Open</x:v>
      </x:c>
      <x:c r="H8" s="84" t="n">
        <x:f>IF(C8="","",C8-WEEKDAY(C8,2)+1)</x:f>
        <x:v>46195</x:v>
      </x:c>
      <x:c r="I8" s="81" t="n">
        <x:f>IF(D8="Small task",1,IF(D8="Medium task",2,IF(D8="Large task",3,0)))</x:f>
        <x:v>2</x:v>
      </x:c>
      <x:c r="J8" s="81" t="n">
        <x:f>IF(AND(A8&lt;&gt;"",G8&lt;&gt;"Done"),1,0)</x:f>
        <x:v>1</x:v>
      </x:c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81" t="str">
        <x:v>STAT101</x:v>
      </x:c>
      <x:c r="B9" s="81" t="str">
        <x:v>Quiz 3</x:v>
      </x:c>
      <x:c r="C9" s="84" t="n">
        <x:v>46198</x:v>
      </x:c>
      <x:c r="D9" s="81" t="str">
        <x:v>Small task</x:v>
      </x:c>
      <x:c r="E9" s="81" t="n">
        <x:v>3</x:v>
      </x:c>
      <x:c r="F9" s="81" t="str">
        <x:v>Clear</x:v>
      </x:c>
      <x:c r="G9" s="81" t="str">
        <x:v>Open</x:v>
      </x:c>
      <x:c r="H9" s="84" t="n">
        <x:f>IF(C9="","",C9-WEEKDAY(C9,2)+1)</x:f>
        <x:v>46195</x:v>
      </x:c>
      <x:c r="I9" s="81" t="n">
        <x:f>IF(D9="Small task",1,IF(D9="Medium task",2,IF(D9="Large task",3,0)))</x:f>
        <x:v>1</x:v>
      </x:c>
      <x:c r="J9" s="81" t="n">
        <x:f>IF(AND(A9&lt;&gt;"",G9&lt;&gt;"Done"),1,0)</x:f>
        <x:v>1</x:v>
      </x:c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81" t="str">
        <x:v>HIST101</x:v>
      </x:c>
      <x:c r="B10" s="81" t="str">
        <x:v>Group milestone</x:v>
      </x:c>
      <x:c r="C10" s="84" t="n">
        <x:v>46199</x:v>
      </x:c>
      <x:c r="D10" s="81" t="str">
        <x:v>Large task</x:v>
      </x:c>
      <x:c r="E10" s="81" t="n">
        <x:v>8</x:v>
      </x:c>
      <x:c r="F10" s="81" t="str">
        <x:v>Unclear</x:v>
      </x:c>
      <x:c r="G10" s="81" t="str">
        <x:v>Open</x:v>
      </x:c>
      <x:c r="H10" s="84" t="n">
        <x:f>IF(C10="","",C10-WEEKDAY(C10,2)+1)</x:f>
        <x:v>46195</x:v>
      </x:c>
      <x:c r="I10" s="81" t="n">
        <x:f>IF(D10="Small task",1,IF(D10="Medium task",2,IF(D10="Large task",3,0)))</x:f>
        <x:v>3</x:v>
      </x:c>
      <x:c r="J10" s="81" t="n">
        <x:f>IF(AND(A10&lt;&gt;"",G10&lt;&gt;"Done"),1,0)</x:f>
        <x:v>1</x:v>
      </x:c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81" t="str">
        <x:v>BIO101</x:v>
      </x:c>
      <x:c r="B11" s="81" t="str">
        <x:v>Midterm preparation</x:v>
      </x:c>
      <x:c r="C11" s="84" t="n">
        <x:v>46204</x:v>
      </x:c>
      <x:c r="D11" s="81" t="str">
        <x:v>Large task</x:v>
      </x:c>
      <x:c r="E11" s="81" t="n">
        <x:v>9</x:v>
      </x:c>
      <x:c r="F11" s="81" t="str">
        <x:v>Clear</x:v>
      </x:c>
      <x:c r="G11" s="81" t="str">
        <x:v>Open</x:v>
      </x:c>
      <x:c r="H11" s="84" t="n">
        <x:f>IF(C11="","",C11-WEEKDAY(C11,2)+1)</x:f>
        <x:v>46202</x:v>
      </x:c>
      <x:c r="I11" s="81" t="n">
        <x:f>IF(D11="Small task",1,IF(D11="Medium task",2,IF(D11="Large task",3,0)))</x:f>
        <x:v>3</x:v>
      </x:c>
      <x:c r="J11" s="81" t="n">
        <x:f>IF(AND(A11&lt;&gt;"",G11&lt;&gt;"Done"),1,0)</x:f>
        <x:v>1</x:v>
      </x:c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81" t="str"/>
      <x:c r="B12" s="81" t="str"/>
      <x:c r="C12" s="84"/>
      <x:c r="D12" s="81" t="str"/>
      <x:c r="E12" s="81"/>
      <x:c r="F12" s="81" t="str"/>
      <x:c r="G12" s="81" t="str"/>
      <x:c r="H12" s="84" t="str">
        <x:f>IF(C12="","",C12-WEEKDAY(C12,2)+1)</x:f>
      </x:c>
      <x:c r="I12" s="81" t="n">
        <x:f>IF(D12="Small task",1,IF(D12="Medium task",2,IF(D12="Large task",3,0)))</x:f>
        <x:v>0</x:v>
      </x:c>
      <x:c r="J12" s="81" t="n">
        <x:f>IF(AND(A12&lt;&gt;"",G12&lt;&gt;"Done"),1,0)</x:f>
        <x:v>0</x:v>
      </x:c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81" t="str"/>
      <x:c r="B13" s="81" t="str"/>
      <x:c r="C13" s="84"/>
      <x:c r="D13" s="81" t="str"/>
      <x:c r="E13" s="81"/>
      <x:c r="F13" s="81" t="str"/>
      <x:c r="G13" s="81" t="str"/>
      <x:c r="H13" s="84" t="str">
        <x:f>IF(C13="","",C13-WEEKDAY(C13,2)+1)</x:f>
      </x:c>
      <x:c r="I13" s="81" t="n">
        <x:f>IF(D13="Small task",1,IF(D13="Medium task",2,IF(D13="Large task",3,0)))</x:f>
        <x:v>0</x:v>
      </x:c>
      <x:c r="J13" s="81" t="n">
        <x:f>IF(AND(A13&lt;&gt;"",G13&lt;&gt;"Done"),1,0)</x:f>
        <x:v>0</x:v>
      </x:c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81" t="str"/>
      <x:c r="B14" s="81" t="str"/>
      <x:c r="C14" s="84"/>
      <x:c r="D14" s="81" t="str"/>
      <x:c r="E14" s="81"/>
      <x:c r="F14" s="81" t="str"/>
      <x:c r="G14" s="81" t="str"/>
      <x:c r="H14" s="84" t="str">
        <x:f>IF(C14="","",C14-WEEKDAY(C14,2)+1)</x:f>
      </x:c>
      <x:c r="I14" s="81" t="n">
        <x:f>IF(D14="Small task",1,IF(D14="Medium task",2,IF(D14="Large task",3,0)))</x:f>
        <x:v>0</x:v>
      </x:c>
      <x:c r="J14" s="81" t="n">
        <x:f>IF(AND(A14&lt;&gt;"",G14&lt;&gt;"Done"),1,0)</x:f>
        <x:v>0</x:v>
      </x:c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81" t="str"/>
      <x:c r="B15" s="81" t="str"/>
      <x:c r="C15" s="84"/>
      <x:c r="D15" s="81" t="str"/>
      <x:c r="E15" s="81"/>
      <x:c r="F15" s="81" t="str"/>
      <x:c r="G15" s="81" t="str"/>
      <x:c r="H15" s="84" t="str">
        <x:f>IF(C15="","",C15-WEEKDAY(C15,2)+1)</x:f>
      </x:c>
      <x:c r="I15" s="81" t="n">
        <x:f>IF(D15="Small task",1,IF(D15="Medium task",2,IF(D15="Large task",3,0)))</x:f>
        <x:v>0</x:v>
      </x:c>
      <x:c r="J15" s="81" t="n">
        <x:f>IF(AND(A15&lt;&gt;"",G15&lt;&gt;"Done"),1,0)</x:f>
        <x:v>0</x:v>
      </x:c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81" t="str"/>
      <x:c r="B16" s="81" t="str"/>
      <x:c r="C16" s="84"/>
      <x:c r="D16" s="81" t="str"/>
      <x:c r="E16" s="81"/>
      <x:c r="F16" s="81" t="str"/>
      <x:c r="G16" s="81" t="str"/>
      <x:c r="H16" s="84" t="str">
        <x:f>IF(C16="","",C16-WEEKDAY(C16,2)+1)</x:f>
      </x:c>
      <x:c r="I16" s="81" t="n">
        <x:f>IF(D16="Small task",1,IF(D16="Medium task",2,IF(D16="Large task",3,0)))</x:f>
        <x:v>0</x:v>
      </x:c>
      <x:c r="J16" s="81" t="n">
        <x:f>IF(AND(A16&lt;&gt;"",G16&lt;&gt;"Done"),1,0)</x:f>
        <x:v>0</x:v>
      </x:c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81" t="str"/>
      <x:c r="B17" s="81" t="str"/>
      <x:c r="C17" s="84"/>
      <x:c r="D17" s="81" t="str"/>
      <x:c r="E17" s="81"/>
      <x:c r="F17" s="81" t="str"/>
      <x:c r="G17" s="81" t="str"/>
      <x:c r="H17" s="84" t="str">
        <x:f>IF(C17="","",C17-WEEKDAY(C17,2)+1)</x:f>
      </x:c>
      <x:c r="I17" s="81" t="n">
        <x:f>IF(D17="Small task",1,IF(D17="Medium task",2,IF(D17="Large task",3,0)))</x:f>
        <x:v>0</x:v>
      </x:c>
      <x:c r="J17" s="81" t="n">
        <x:f>IF(AND(A17&lt;&gt;"",G17&lt;&gt;"Done"),1,0)</x:f>
        <x:v>0</x:v>
      </x:c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81" t="str"/>
      <x:c r="B18" s="81" t="str"/>
      <x:c r="C18" s="84"/>
      <x:c r="D18" s="81" t="str"/>
      <x:c r="E18" s="81"/>
      <x:c r="F18" s="81" t="str"/>
      <x:c r="G18" s="81" t="str"/>
      <x:c r="H18" s="84" t="str">
        <x:f>IF(C18="","",C18-WEEKDAY(C18,2)+1)</x:f>
      </x:c>
      <x:c r="I18" s="81" t="n">
        <x:f>IF(D18="Small task",1,IF(D18="Medium task",2,IF(D18="Large task",3,0)))</x:f>
        <x:v>0</x:v>
      </x:c>
      <x:c r="J18" s="81" t="n">
        <x:f>IF(AND(A18&lt;&gt;"",G18&lt;&gt;"Done"),1,0)</x:f>
        <x:v>0</x:v>
      </x:c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81" t="str"/>
      <x:c r="B19" s="81" t="str"/>
      <x:c r="C19" s="84"/>
      <x:c r="D19" s="81" t="str"/>
      <x:c r="E19" s="81"/>
      <x:c r="F19" s="81" t="str"/>
      <x:c r="G19" s="81" t="str"/>
      <x:c r="H19" s="84" t="str">
        <x:f>IF(C19="","",C19-WEEKDAY(C19,2)+1)</x:f>
      </x:c>
      <x:c r="I19" s="81" t="n">
        <x:f>IF(D19="Small task",1,IF(D19="Medium task",2,IF(D19="Large task",3,0)))</x:f>
        <x:v>0</x:v>
      </x:c>
      <x:c r="J19" s="81" t="n">
        <x:f>IF(AND(A19&lt;&gt;"",G19&lt;&gt;"Done"),1,0)</x:f>
        <x:v>0</x:v>
      </x:c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81" t="str"/>
      <x:c r="B20" s="81" t="str"/>
      <x:c r="C20" s="84"/>
      <x:c r="D20" s="81" t="str"/>
      <x:c r="E20" s="81"/>
      <x:c r="F20" s="81" t="str"/>
      <x:c r="G20" s="81" t="str"/>
      <x:c r="H20" s="84" t="str">
        <x:f>IF(C20="","",C20-WEEKDAY(C20,2)+1)</x:f>
      </x:c>
      <x:c r="I20" s="81" t="n">
        <x:f>IF(D20="Small task",1,IF(D20="Medium task",2,IF(D20="Large task",3,0)))</x:f>
        <x:v>0</x:v>
      </x:c>
      <x:c r="J20" s="81" t="n">
        <x:f>IF(AND(A20&lt;&gt;"",G20&lt;&gt;"Done"),1,0)</x:f>
        <x:v>0</x:v>
      </x:c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81" t="str"/>
      <x:c r="B21" s="81" t="str"/>
      <x:c r="C21" s="84"/>
      <x:c r="D21" s="81" t="str"/>
      <x:c r="E21" s="81"/>
      <x:c r="F21" s="81" t="str"/>
      <x:c r="G21" s="81" t="str"/>
      <x:c r="H21" s="84" t="str">
        <x:f>IF(C21="","",C21-WEEKDAY(C21,2)+1)</x:f>
      </x:c>
      <x:c r="I21" s="81" t="n">
        <x:f>IF(D21="Small task",1,IF(D21="Medium task",2,IF(D21="Large task",3,0)))</x:f>
        <x:v>0</x:v>
      </x:c>
      <x:c r="J21" s="81" t="n">
        <x:f>IF(AND(A21&lt;&gt;"",G21&lt;&gt;"Done"),1,0)</x:f>
        <x:v>0</x:v>
      </x:c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81" t="str"/>
      <x:c r="B22" s="81" t="str"/>
      <x:c r="C22" s="84"/>
      <x:c r="D22" s="81" t="str"/>
      <x:c r="E22" s="81"/>
      <x:c r="F22" s="81" t="str"/>
      <x:c r="G22" s="81" t="str"/>
      <x:c r="H22" s="84" t="str">
        <x:f>IF(C22="","",C22-WEEKDAY(C22,2)+1)</x:f>
      </x:c>
      <x:c r="I22" s="81" t="n">
        <x:f>IF(D22="Small task",1,IF(D22="Medium task",2,IF(D22="Large task",3,0)))</x:f>
        <x:v>0</x:v>
      </x:c>
      <x:c r="J22" s="81" t="n">
        <x:f>IF(AND(A22&lt;&gt;"",G22&lt;&gt;"Done"),1,0)</x:f>
        <x:v>0</x:v>
      </x:c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81" t="str"/>
      <x:c r="B23" s="81" t="str"/>
      <x:c r="C23" s="84"/>
      <x:c r="D23" s="81" t="str"/>
      <x:c r="E23" s="81"/>
      <x:c r="F23" s="81" t="str"/>
      <x:c r="G23" s="81" t="str"/>
      <x:c r="H23" s="84" t="str">
        <x:f>IF(C23="","",C23-WEEKDAY(C23,2)+1)</x:f>
      </x:c>
      <x:c r="I23" s="81" t="n">
        <x:f>IF(D23="Small task",1,IF(D23="Medium task",2,IF(D23="Large task",3,0)))</x:f>
        <x:v>0</x:v>
      </x:c>
      <x:c r="J23" s="81" t="n">
        <x:f>IF(AND(A23&lt;&gt;"",G23&lt;&gt;"Done"),1,0)</x:f>
        <x:v>0</x:v>
      </x:c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81" t="str"/>
      <x:c r="B24" s="81" t="str"/>
      <x:c r="C24" s="84"/>
      <x:c r="D24" s="81" t="str"/>
      <x:c r="E24" s="81"/>
      <x:c r="F24" s="81" t="str"/>
      <x:c r="G24" s="81" t="str"/>
      <x:c r="H24" s="84" t="str">
        <x:f>IF(C24="","",C24-WEEKDAY(C24,2)+1)</x:f>
      </x:c>
      <x:c r="I24" s="81" t="n">
        <x:f>IF(D24="Small task",1,IF(D24="Medium task",2,IF(D24="Large task",3,0)))</x:f>
        <x:v>0</x:v>
      </x:c>
      <x:c r="J24" s="81" t="n">
        <x:f>IF(AND(A24&lt;&gt;"",G24&lt;&gt;"Done"),1,0)</x:f>
        <x:v>0</x:v>
      </x:c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81" t="str"/>
      <x:c r="B25" s="81" t="str"/>
      <x:c r="C25" s="84"/>
      <x:c r="D25" s="81" t="str"/>
      <x:c r="E25" s="81"/>
      <x:c r="F25" s="81" t="str"/>
      <x:c r="G25" s="81" t="str"/>
      <x:c r="H25" s="84" t="str">
        <x:f>IF(C25="","",C25-WEEKDAY(C25,2)+1)</x:f>
      </x:c>
      <x:c r="I25" s="81" t="n">
        <x:f>IF(D25="Small task",1,IF(D25="Medium task",2,IF(D25="Large task",3,0)))</x:f>
        <x:v>0</x:v>
      </x:c>
      <x:c r="J25" s="81" t="n">
        <x:f>IF(AND(A25&lt;&gt;"",G25&lt;&gt;"Done"),1,0)</x:f>
        <x:v>0</x:v>
      </x:c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81" t="str"/>
      <x:c r="B26" s="81" t="str"/>
      <x:c r="C26" s="84"/>
      <x:c r="D26" s="81" t="str"/>
      <x:c r="E26" s="81"/>
      <x:c r="F26" s="81" t="str"/>
      <x:c r="G26" s="81" t="str"/>
      <x:c r="H26" s="84" t="str">
        <x:f>IF(C26="","",C26-WEEKDAY(C26,2)+1)</x:f>
      </x:c>
      <x:c r="I26" s="81" t="n">
        <x:f>IF(D26="Small task",1,IF(D26="Medium task",2,IF(D26="Large task",3,0)))</x:f>
        <x:v>0</x:v>
      </x:c>
      <x:c r="J26" s="81" t="n">
        <x:f>IF(AND(A26&lt;&gt;"",G26&lt;&gt;"Done"),1,0)</x:f>
        <x:v>0</x:v>
      </x:c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81" t="str"/>
      <x:c r="B27" s="81" t="str"/>
      <x:c r="C27" s="84"/>
      <x:c r="D27" s="81" t="str"/>
      <x:c r="E27" s="81"/>
      <x:c r="F27" s="81" t="str"/>
      <x:c r="G27" s="81" t="str"/>
      <x:c r="H27" s="84" t="str">
        <x:f>IF(C27="","",C27-WEEKDAY(C27,2)+1)</x:f>
      </x:c>
      <x:c r="I27" s="81" t="n">
        <x:f>IF(D27="Small task",1,IF(D27="Medium task",2,IF(D27="Large task",3,0)))</x:f>
        <x:v>0</x:v>
      </x:c>
      <x:c r="J27" s="81" t="n">
        <x:f>IF(AND(A27&lt;&gt;"",G27&lt;&gt;"Done"),1,0)</x:f>
        <x:v>0</x:v>
      </x:c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81" t="str"/>
      <x:c r="B28" s="81" t="str"/>
      <x:c r="C28" s="84"/>
      <x:c r="D28" s="81" t="str"/>
      <x:c r="E28" s="81"/>
      <x:c r="F28" s="81" t="str"/>
      <x:c r="G28" s="81" t="str"/>
      <x:c r="H28" s="84" t="str">
        <x:f>IF(C28="","",C28-WEEKDAY(C28,2)+1)</x:f>
      </x:c>
      <x:c r="I28" s="81" t="n">
        <x:f>IF(D28="Small task",1,IF(D28="Medium task",2,IF(D28="Large task",3,0)))</x:f>
        <x:v>0</x:v>
      </x:c>
      <x:c r="J28" s="81" t="n">
        <x:f>IF(AND(A28&lt;&gt;"",G28&lt;&gt;"Done"),1,0)</x:f>
        <x:v>0</x:v>
      </x:c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81" t="str"/>
      <x:c r="B29" s="81" t="str"/>
      <x:c r="C29" s="84"/>
      <x:c r="D29" s="81" t="str"/>
      <x:c r="E29" s="81"/>
      <x:c r="F29" s="81" t="str"/>
      <x:c r="G29" s="81" t="str"/>
      <x:c r="H29" s="84" t="str">
        <x:f>IF(C29="","",C29-WEEKDAY(C29,2)+1)</x:f>
      </x:c>
      <x:c r="I29" s="81" t="n">
        <x:f>IF(D29="Small task",1,IF(D29="Medium task",2,IF(D29="Large task",3,0)))</x:f>
        <x:v>0</x:v>
      </x:c>
      <x:c r="J29" s="81" t="n">
        <x:f>IF(AND(A29&lt;&gt;"",G29&lt;&gt;"Done"),1,0)</x:f>
        <x:v>0</x:v>
      </x:c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81" t="str"/>
      <x:c r="B30" s="81" t="str"/>
      <x:c r="C30" s="84"/>
      <x:c r="D30" s="81" t="str"/>
      <x:c r="E30" s="81"/>
      <x:c r="F30" s="81" t="str"/>
      <x:c r="G30" s="81" t="str"/>
      <x:c r="H30" s="84" t="str">
        <x:f>IF(C30="","",C30-WEEKDAY(C30,2)+1)</x:f>
      </x:c>
      <x:c r="I30" s="81" t="n">
        <x:f>IF(D30="Small task",1,IF(D30="Medium task",2,IF(D30="Large task",3,0)))</x:f>
        <x:v>0</x:v>
      </x:c>
      <x:c r="J30" s="81" t="n">
        <x:f>IF(AND(A30&lt;&gt;"",G30&lt;&gt;"Done"),1,0)</x:f>
        <x:v>0</x:v>
      </x:c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81" t="str"/>
      <x:c r="B31" s="81" t="str"/>
      <x:c r="C31" s="84"/>
      <x:c r="D31" s="81" t="str"/>
      <x:c r="E31" s="81"/>
      <x:c r="F31" s="81" t="str"/>
      <x:c r="G31" s="81" t="str"/>
      <x:c r="H31" s="84" t="str">
        <x:f>IF(C31="","",C31-WEEKDAY(C31,2)+1)</x:f>
      </x:c>
      <x:c r="I31" s="81" t="n">
        <x:f>IF(D31="Small task",1,IF(D31="Medium task",2,IF(D31="Large task",3,0)))</x:f>
        <x:v>0</x:v>
      </x:c>
      <x:c r="J31" s="81" t="n">
        <x:f>IF(AND(A31&lt;&gt;"",G31&lt;&gt;"Done"),1,0)</x:f>
        <x:v>0</x:v>
      </x:c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81" t="str"/>
      <x:c r="B32" s="81" t="str"/>
      <x:c r="C32" s="84"/>
      <x:c r="D32" s="81" t="str"/>
      <x:c r="E32" s="81"/>
      <x:c r="F32" s="81" t="str"/>
      <x:c r="G32" s="81" t="str"/>
      <x:c r="H32" s="84" t="str">
        <x:f>IF(C32="","",C32-WEEKDAY(C32,2)+1)</x:f>
      </x:c>
      <x:c r="I32" s="81" t="n">
        <x:f>IF(D32="Small task",1,IF(D32="Medium task",2,IF(D32="Large task",3,0)))</x:f>
        <x:v>0</x:v>
      </x:c>
      <x:c r="J32" s="81" t="n">
        <x:f>IF(AND(A32&lt;&gt;"",G32&lt;&gt;"Done"),1,0)</x:f>
        <x:v>0</x:v>
      </x:c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81" t="str"/>
      <x:c r="B33" s="81" t="str"/>
      <x:c r="C33" s="84"/>
      <x:c r="D33" s="81" t="str"/>
      <x:c r="E33" s="81"/>
      <x:c r="F33" s="81" t="str"/>
      <x:c r="G33" s="81" t="str"/>
      <x:c r="H33" s="84" t="str">
        <x:f>IF(C33="","",C33-WEEKDAY(C33,2)+1)</x:f>
      </x:c>
      <x:c r="I33" s="81" t="n">
        <x:f>IF(D33="Small task",1,IF(D33="Medium task",2,IF(D33="Large task",3,0)))</x:f>
        <x:v>0</x:v>
      </x:c>
      <x:c r="J33" s="81" t="n">
        <x:f>IF(AND(A33&lt;&gt;"",G33&lt;&gt;"Done"),1,0)</x:f>
        <x:v>0</x:v>
      </x:c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81" t="str"/>
      <x:c r="B34" s="81" t="str"/>
      <x:c r="C34" s="84"/>
      <x:c r="D34" s="81" t="str"/>
      <x:c r="E34" s="81"/>
      <x:c r="F34" s="81" t="str"/>
      <x:c r="G34" s="81" t="str"/>
      <x:c r="H34" s="84" t="str">
        <x:f>IF(C34="","",C34-WEEKDAY(C34,2)+1)</x:f>
      </x:c>
      <x:c r="I34" s="81" t="n">
        <x:f>IF(D34="Small task",1,IF(D34="Medium task",2,IF(D34="Large task",3,0)))</x:f>
        <x:v>0</x:v>
      </x:c>
      <x:c r="J34" s="81" t="n">
        <x:f>IF(AND(A34&lt;&gt;"",G34&lt;&gt;"Done"),1,0)</x:f>
        <x:v>0</x:v>
      </x:c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81" t="str"/>
      <x:c r="B35" s="81" t="str"/>
      <x:c r="C35" s="84"/>
      <x:c r="D35" s="81" t="str"/>
      <x:c r="E35" s="81"/>
      <x:c r="F35" s="81" t="str"/>
      <x:c r="G35" s="81" t="str"/>
      <x:c r="H35" s="84" t="str">
        <x:f>IF(C35="","",C35-WEEKDAY(C35,2)+1)</x:f>
      </x:c>
      <x:c r="I35" s="81" t="n">
        <x:f>IF(D35="Small task",1,IF(D35="Medium task",2,IF(D35="Large task",3,0)))</x:f>
        <x:v>0</x:v>
      </x:c>
      <x:c r="J35" s="81" t="n">
        <x:f>IF(AND(A35&lt;&gt;"",G35&lt;&gt;"Done"),1,0)</x:f>
        <x:v>0</x:v>
      </x:c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81" t="str"/>
      <x:c r="B36" s="81" t="str"/>
      <x:c r="C36" s="84"/>
      <x:c r="D36" s="81" t="str"/>
      <x:c r="E36" s="81"/>
      <x:c r="F36" s="81" t="str"/>
      <x:c r="G36" s="81" t="str"/>
      <x:c r="H36" s="84" t="str">
        <x:f>IF(C36="","",C36-WEEKDAY(C36,2)+1)</x:f>
      </x:c>
      <x:c r="I36" s="81" t="n">
        <x:f>IF(D36="Small task",1,IF(D36="Medium task",2,IF(D36="Large task",3,0)))</x:f>
        <x:v>0</x:v>
      </x:c>
      <x:c r="J36" s="81" t="n">
        <x:f>IF(AND(A36&lt;&gt;"",G36&lt;&gt;"Done"),1,0)</x:f>
        <x:v>0</x:v>
      </x:c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81" t="str"/>
      <x:c r="B37" s="81" t="str"/>
      <x:c r="C37" s="84"/>
      <x:c r="D37" s="81" t="str"/>
      <x:c r="E37" s="81"/>
      <x:c r="F37" s="81" t="str"/>
      <x:c r="G37" s="81" t="str"/>
      <x:c r="H37" s="84" t="str">
        <x:f>IF(C37="","",C37-WEEKDAY(C37,2)+1)</x:f>
      </x:c>
      <x:c r="I37" s="81" t="n">
        <x:f>IF(D37="Small task",1,IF(D37="Medium task",2,IF(D37="Large task",3,0)))</x:f>
        <x:v>0</x:v>
      </x:c>
      <x:c r="J37" s="81" t="n">
        <x:f>IF(AND(A37&lt;&gt;"",G37&lt;&gt;"Done"),1,0)</x:f>
        <x:v>0</x:v>
      </x:c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81" t="str"/>
      <x:c r="B38" s="81" t="str"/>
      <x:c r="C38" s="84"/>
      <x:c r="D38" s="81" t="str"/>
      <x:c r="E38" s="81"/>
      <x:c r="F38" s="81" t="str"/>
      <x:c r="G38" s="81" t="str"/>
      <x:c r="H38" s="84" t="str">
        <x:f>IF(C38="","",C38-WEEKDAY(C38,2)+1)</x:f>
      </x:c>
      <x:c r="I38" s="81" t="n">
        <x:f>IF(D38="Small task",1,IF(D38="Medium task",2,IF(D38="Large task",3,0)))</x:f>
        <x:v>0</x:v>
      </x:c>
      <x:c r="J38" s="81" t="n">
        <x:f>IF(AND(A38&lt;&gt;"",G38&lt;&gt;"Done"),1,0)</x:f>
        <x:v>0</x:v>
      </x:c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81" t="str"/>
      <x:c r="B39" s="81" t="str"/>
      <x:c r="C39" s="84"/>
      <x:c r="D39" s="81" t="str"/>
      <x:c r="E39" s="81"/>
      <x:c r="F39" s="81" t="str"/>
      <x:c r="G39" s="81" t="str"/>
      <x:c r="H39" s="84" t="str">
        <x:f>IF(C39="","",C39-WEEKDAY(C39,2)+1)</x:f>
      </x:c>
      <x:c r="I39" s="81" t="n">
        <x:f>IF(D39="Small task",1,IF(D39="Medium task",2,IF(D39="Large task",3,0)))</x:f>
        <x:v>0</x:v>
      </x:c>
      <x:c r="J39" s="81" t="n">
        <x:f>IF(AND(A39&lt;&gt;"",G39&lt;&gt;"Done"),1,0)</x:f>
        <x:v>0</x:v>
      </x:c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81" t="str"/>
      <x:c r="B40" s="81" t="str"/>
      <x:c r="C40" s="84"/>
      <x:c r="D40" s="81" t="str"/>
      <x:c r="E40" s="81"/>
      <x:c r="F40" s="81" t="str"/>
      <x:c r="G40" s="81" t="str"/>
      <x:c r="H40" s="84" t="str">
        <x:f>IF(C40="","",C40-WEEKDAY(C40,2)+1)</x:f>
      </x:c>
      <x:c r="I40" s="81" t="n">
        <x:f>IF(D40="Small task",1,IF(D40="Medium task",2,IF(D40="Large task",3,0)))</x:f>
        <x:v>0</x:v>
      </x:c>
      <x:c r="J40" s="81" t="n">
        <x:f>IF(AND(A40&lt;&gt;"",G40&lt;&gt;"Done"),1,0)</x:f>
        <x:v>0</x:v>
      </x:c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81" t="str"/>
      <x:c r="B41" s="81" t="str"/>
      <x:c r="C41" s="84"/>
      <x:c r="D41" s="81" t="str"/>
      <x:c r="E41" s="81"/>
      <x:c r="F41" s="81" t="str"/>
      <x:c r="G41" s="81" t="str"/>
      <x:c r="H41" s="84" t="str">
        <x:f>IF(C41="","",C41-WEEKDAY(C41,2)+1)</x:f>
      </x:c>
      <x:c r="I41" s="81" t="n">
        <x:f>IF(D41="Small task",1,IF(D41="Medium task",2,IF(D41="Large task",3,0)))</x:f>
        <x:v>0</x:v>
      </x:c>
      <x:c r="J41" s="81" t="n">
        <x:f>IF(AND(A41&lt;&gt;"",G41&lt;&gt;"Done"),1,0)</x:f>
        <x:v>0</x:v>
      </x:c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81" t="str"/>
      <x:c r="B42" s="81" t="str"/>
      <x:c r="C42" s="84"/>
      <x:c r="D42" s="81" t="str"/>
      <x:c r="E42" s="81"/>
      <x:c r="F42" s="81" t="str"/>
      <x:c r="G42" s="81" t="str"/>
      <x:c r="H42" s="84" t="str">
        <x:f>IF(C42="","",C42-WEEKDAY(C42,2)+1)</x:f>
      </x:c>
      <x:c r="I42" s="81" t="n">
        <x:f>IF(D42="Small task",1,IF(D42="Medium task",2,IF(D42="Large task",3,0)))</x:f>
        <x:v>0</x:v>
      </x:c>
      <x:c r="J42" s="81" t="n">
        <x:f>IF(AND(A42&lt;&gt;"",G42&lt;&gt;"Done"),1,0)</x:f>
        <x:v>0</x:v>
      </x:c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81" t="str"/>
      <x:c r="B43" s="81" t="str"/>
      <x:c r="C43" s="84"/>
      <x:c r="D43" s="81" t="str"/>
      <x:c r="E43" s="81"/>
      <x:c r="F43" s="81" t="str"/>
      <x:c r="G43" s="81" t="str"/>
      <x:c r="H43" s="84" t="str">
        <x:f>IF(C43="","",C43-WEEKDAY(C43,2)+1)</x:f>
      </x:c>
      <x:c r="I43" s="81" t="n">
        <x:f>IF(D43="Small task",1,IF(D43="Medium task",2,IF(D43="Large task",3,0)))</x:f>
        <x:v>0</x:v>
      </x:c>
      <x:c r="J43" s="81" t="n">
        <x:f>IF(AND(A43&lt;&gt;"",G43&lt;&gt;"Done"),1,0)</x:f>
        <x:v>0</x:v>
      </x:c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81" t="str"/>
      <x:c r="B44" s="81" t="str"/>
      <x:c r="C44" s="84"/>
      <x:c r="D44" s="81" t="str"/>
      <x:c r="E44" s="81"/>
      <x:c r="F44" s="81" t="str"/>
      <x:c r="G44" s="81" t="str"/>
      <x:c r="H44" s="84" t="str">
        <x:f>IF(C44="","",C44-WEEKDAY(C44,2)+1)</x:f>
      </x:c>
      <x:c r="I44" s="81" t="n">
        <x:f>IF(D44="Small task",1,IF(D44="Medium task",2,IF(D44="Large task",3,0)))</x:f>
        <x:v>0</x:v>
      </x:c>
      <x:c r="J44" s="81" t="n">
        <x:f>IF(AND(A44&lt;&gt;"",G44&lt;&gt;"Done"),1,0)</x:f>
        <x:v>0</x:v>
      </x:c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81" t="str"/>
      <x:c r="B45" s="81" t="str"/>
      <x:c r="C45" s="84"/>
      <x:c r="D45" s="81" t="str"/>
      <x:c r="E45" s="81"/>
      <x:c r="F45" s="81" t="str"/>
      <x:c r="G45" s="81" t="str"/>
      <x:c r="H45" s="84" t="str">
        <x:f>IF(C45="","",C45-WEEKDAY(C45,2)+1)</x:f>
      </x:c>
      <x:c r="I45" s="81" t="n">
        <x:f>IF(D45="Small task",1,IF(D45="Medium task",2,IF(D45="Large task",3,0)))</x:f>
        <x:v>0</x:v>
      </x:c>
      <x:c r="J45" s="81" t="n">
        <x:f>IF(AND(A45&lt;&gt;"",G45&lt;&gt;"Done"),1,0)</x:f>
        <x:v>0</x:v>
      </x:c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81" t="str"/>
      <x:c r="B46" s="81" t="str"/>
      <x:c r="C46" s="84"/>
      <x:c r="D46" s="81" t="str"/>
      <x:c r="E46" s="81"/>
      <x:c r="F46" s="81" t="str"/>
      <x:c r="G46" s="81" t="str"/>
      <x:c r="H46" s="84" t="str">
        <x:f>IF(C46="","",C46-WEEKDAY(C46,2)+1)</x:f>
      </x:c>
      <x:c r="I46" s="81" t="n">
        <x:f>IF(D46="Small task",1,IF(D46="Medium task",2,IF(D46="Large task",3,0)))</x:f>
        <x:v>0</x:v>
      </x:c>
      <x:c r="J46" s="81" t="n">
        <x:f>IF(AND(A46&lt;&gt;"",G46&lt;&gt;"Done"),1,0)</x:f>
        <x:v>0</x:v>
      </x:c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81" t="str"/>
      <x:c r="B47" s="81" t="str"/>
      <x:c r="C47" s="84"/>
      <x:c r="D47" s="81" t="str"/>
      <x:c r="E47" s="81"/>
      <x:c r="F47" s="81" t="str"/>
      <x:c r="G47" s="81" t="str"/>
      <x:c r="H47" s="84" t="str">
        <x:f>IF(C47="","",C47-WEEKDAY(C47,2)+1)</x:f>
      </x:c>
      <x:c r="I47" s="81" t="n">
        <x:f>IF(D47="Small task",1,IF(D47="Medium task",2,IF(D47="Large task",3,0)))</x:f>
        <x:v>0</x:v>
      </x:c>
      <x:c r="J47" s="81" t="n">
        <x:f>IF(AND(A47&lt;&gt;"",G47&lt;&gt;"Done"),1,0)</x:f>
        <x:v>0</x:v>
      </x:c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81" t="str"/>
      <x:c r="B48" s="81" t="str"/>
      <x:c r="C48" s="84"/>
      <x:c r="D48" s="81" t="str"/>
      <x:c r="E48" s="81"/>
      <x:c r="F48" s="81" t="str"/>
      <x:c r="G48" s="81" t="str"/>
      <x:c r="H48" s="84" t="str">
        <x:f>IF(C48="","",C48-WEEKDAY(C48,2)+1)</x:f>
      </x:c>
      <x:c r="I48" s="81" t="n">
        <x:f>IF(D48="Small task",1,IF(D48="Medium task",2,IF(D48="Large task",3,0)))</x:f>
        <x:v>0</x:v>
      </x:c>
      <x:c r="J48" s="81" t="n">
        <x:f>IF(AND(A48&lt;&gt;"",G48&lt;&gt;"Done"),1,0)</x:f>
        <x:v>0</x:v>
      </x:c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81" t="str"/>
      <x:c r="B49" s="81" t="str"/>
      <x:c r="C49" s="84"/>
      <x:c r="D49" s="81" t="str"/>
      <x:c r="E49" s="81"/>
      <x:c r="F49" s="81" t="str"/>
      <x:c r="G49" s="81" t="str"/>
      <x:c r="H49" s="84" t="str">
        <x:f>IF(C49="","",C49-WEEKDAY(C49,2)+1)</x:f>
      </x:c>
      <x:c r="I49" s="81" t="n">
        <x:f>IF(D49="Small task",1,IF(D49="Medium task",2,IF(D49="Large task",3,0)))</x:f>
        <x:v>0</x:v>
      </x:c>
      <x:c r="J49" s="81" t="n">
        <x:f>IF(AND(A49&lt;&gt;"",G49&lt;&gt;"Done"),1,0)</x:f>
        <x:v>0</x:v>
      </x:c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81" t="str"/>
      <x:c r="B50" s="81" t="str"/>
      <x:c r="C50" s="84"/>
      <x:c r="D50" s="81" t="str"/>
      <x:c r="E50" s="81"/>
      <x:c r="F50" s="81" t="str"/>
      <x:c r="G50" s="81" t="str"/>
      <x:c r="H50" s="84" t="str">
        <x:f>IF(C50="","",C50-WEEKDAY(C50,2)+1)</x:f>
      </x:c>
      <x:c r="I50" s="81" t="n">
        <x:f>IF(D50="Small task",1,IF(D50="Medium task",2,IF(D50="Large task",3,0)))</x:f>
        <x:v>0</x:v>
      </x:c>
      <x:c r="J50" s="81" t="n">
        <x:f>IF(AND(A50&lt;&gt;"",G50&lt;&gt;"Done"),1,0)</x:f>
        <x:v>0</x:v>
      </x:c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81" t="str"/>
      <x:c r="B51" s="81" t="str"/>
      <x:c r="C51" s="84"/>
      <x:c r="D51" s="81" t="str"/>
      <x:c r="E51" s="81"/>
      <x:c r="F51" s="81" t="str"/>
      <x:c r="G51" s="81" t="str"/>
      <x:c r="H51" s="84" t="str">
        <x:f>IF(C51="","",C51-WEEKDAY(C51,2)+1)</x:f>
      </x:c>
      <x:c r="I51" s="81" t="n">
        <x:f>IF(D51="Small task",1,IF(D51="Medium task",2,IF(D51="Large task",3,0)))</x:f>
        <x:v>0</x:v>
      </x:c>
      <x:c r="J51" s="81" t="n">
        <x:f>IF(AND(A51&lt;&gt;"",G51&lt;&gt;"Done"),1,0)</x:f>
        <x:v>0</x:v>
      </x:c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81" t="str"/>
      <x:c r="B52" s="81" t="str"/>
      <x:c r="C52" s="84"/>
      <x:c r="D52" s="81" t="str"/>
      <x:c r="E52" s="81"/>
      <x:c r="F52" s="81" t="str"/>
      <x:c r="G52" s="81" t="str"/>
      <x:c r="H52" s="84" t="str">
        <x:f>IF(C52="","",C52-WEEKDAY(C52,2)+1)</x:f>
      </x:c>
      <x:c r="I52" s="81" t="n">
        <x:f>IF(D52="Small task",1,IF(D52="Medium task",2,IF(D52="Large task",3,0)))</x:f>
        <x:v>0</x:v>
      </x:c>
      <x:c r="J52" s="81" t="n">
        <x:f>IF(AND(A52&lt;&gt;"",G52&lt;&gt;"Done"),1,0)</x:f>
        <x:v>0</x:v>
      </x:c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81" t="str"/>
      <x:c r="B53" s="81" t="str"/>
      <x:c r="C53" s="84"/>
      <x:c r="D53" s="81" t="str"/>
      <x:c r="E53" s="81"/>
      <x:c r="F53" s="81" t="str"/>
      <x:c r="G53" s="81" t="str"/>
      <x:c r="H53" s="84" t="str">
        <x:f>IF(C53="","",C53-WEEKDAY(C53,2)+1)</x:f>
      </x:c>
      <x:c r="I53" s="81" t="n">
        <x:f>IF(D53="Small task",1,IF(D53="Medium task",2,IF(D53="Large task",3,0)))</x:f>
        <x:v>0</x:v>
      </x:c>
      <x:c r="J53" s="81" t="n">
        <x:f>IF(AND(A53&lt;&gt;"",G53&lt;&gt;"Done"),1,0)</x:f>
        <x:v>0</x:v>
      </x:c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81" t="str"/>
      <x:c r="B54" s="81" t="str"/>
      <x:c r="C54" s="84"/>
      <x:c r="D54" s="81" t="str"/>
      <x:c r="E54" s="81"/>
      <x:c r="F54" s="81" t="str"/>
      <x:c r="G54" s="81" t="str"/>
      <x:c r="H54" s="84" t="str">
        <x:f>IF(C54="","",C54-WEEKDAY(C54,2)+1)</x:f>
      </x:c>
      <x:c r="I54" s="81" t="n">
        <x:f>IF(D54="Small task",1,IF(D54="Medium task",2,IF(D54="Large task",3,0)))</x:f>
        <x:v>0</x:v>
      </x:c>
      <x:c r="J54" s="81" t="n">
        <x:f>IF(AND(A54&lt;&gt;"",G54&lt;&gt;"Done"),1,0)</x:f>
        <x:v>0</x:v>
      </x:c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81" t="str"/>
      <x:c r="B55" s="81" t="str"/>
      <x:c r="C55" s="84"/>
      <x:c r="D55" s="81" t="str"/>
      <x:c r="E55" s="81"/>
      <x:c r="F55" s="81" t="str"/>
      <x:c r="G55" s="81" t="str"/>
      <x:c r="H55" s="84" t="str">
        <x:f>IF(C55="","",C55-WEEKDAY(C55,2)+1)</x:f>
      </x:c>
      <x:c r="I55" s="81" t="n">
        <x:f>IF(D55="Small task",1,IF(D55="Medium task",2,IF(D55="Large task",3,0)))</x:f>
        <x:v>0</x:v>
      </x:c>
      <x:c r="J55" s="81" t="n">
        <x:f>IF(AND(A55&lt;&gt;"",G55&lt;&gt;"Done"),1,0)</x:f>
        <x:v>0</x:v>
      </x:c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81" t="str"/>
      <x:c r="B56" s="81" t="str"/>
      <x:c r="C56" s="84"/>
      <x:c r="D56" s="81" t="str"/>
      <x:c r="E56" s="81"/>
      <x:c r="F56" s="81" t="str"/>
      <x:c r="G56" s="81" t="str"/>
      <x:c r="H56" s="84" t="str">
        <x:f>IF(C56="","",C56-WEEKDAY(C56,2)+1)</x:f>
      </x:c>
      <x:c r="I56" s="81" t="n">
        <x:f>IF(D56="Small task",1,IF(D56="Medium task",2,IF(D56="Large task",3,0)))</x:f>
        <x:v>0</x:v>
      </x:c>
      <x:c r="J56" s="81" t="n">
        <x:f>IF(AND(A56&lt;&gt;"",G56&lt;&gt;"Done"),1,0)</x:f>
        <x:v>0</x:v>
      </x:c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81" t="str"/>
      <x:c r="B57" s="81" t="str"/>
      <x:c r="C57" s="84"/>
      <x:c r="D57" s="81" t="str"/>
      <x:c r="E57" s="81"/>
      <x:c r="F57" s="81" t="str"/>
      <x:c r="G57" s="81" t="str"/>
      <x:c r="H57" s="84" t="str">
        <x:f>IF(C57="","",C57-WEEKDAY(C57,2)+1)</x:f>
      </x:c>
      <x:c r="I57" s="81" t="n">
        <x:f>IF(D57="Small task",1,IF(D57="Medium task",2,IF(D57="Large task",3,0)))</x:f>
        <x:v>0</x:v>
      </x:c>
      <x:c r="J57" s="81" t="n">
        <x:f>IF(AND(A57&lt;&gt;"",G57&lt;&gt;"Done"),1,0)</x:f>
        <x:v>0</x:v>
      </x:c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81" t="str"/>
      <x:c r="B58" s="81" t="str"/>
      <x:c r="C58" s="84"/>
      <x:c r="D58" s="81" t="str"/>
      <x:c r="E58" s="81"/>
      <x:c r="F58" s="81" t="str"/>
      <x:c r="G58" s="81" t="str"/>
      <x:c r="H58" s="84" t="str">
        <x:f>IF(C58="","",C58-WEEKDAY(C58,2)+1)</x:f>
      </x:c>
      <x:c r="I58" s="81" t="n">
        <x:f>IF(D58="Small task",1,IF(D58="Medium task",2,IF(D58="Large task",3,0)))</x:f>
        <x:v>0</x:v>
      </x:c>
      <x:c r="J58" s="81" t="n">
        <x:f>IF(AND(A58&lt;&gt;"",G58&lt;&gt;"Done"),1,0)</x:f>
        <x:v>0</x:v>
      </x:c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81" t="str"/>
      <x:c r="B59" s="81" t="str"/>
      <x:c r="C59" s="84"/>
      <x:c r="D59" s="81" t="str"/>
      <x:c r="E59" s="81"/>
      <x:c r="F59" s="81" t="str"/>
      <x:c r="G59" s="81" t="str"/>
      <x:c r="H59" s="84" t="str">
        <x:f>IF(C59="","",C59-WEEKDAY(C59,2)+1)</x:f>
      </x:c>
      <x:c r="I59" s="81" t="n">
        <x:f>IF(D59="Small task",1,IF(D59="Medium task",2,IF(D59="Large task",3,0)))</x:f>
        <x:v>0</x:v>
      </x:c>
      <x:c r="J59" s="81" t="n">
        <x:f>IF(AND(A59&lt;&gt;"",G59&lt;&gt;"Done"),1,0)</x:f>
        <x:v>0</x:v>
      </x:c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81" t="str"/>
      <x:c r="B60" s="81" t="str"/>
      <x:c r="C60" s="84"/>
      <x:c r="D60" s="81" t="str"/>
      <x:c r="E60" s="81"/>
      <x:c r="F60" s="81" t="str"/>
      <x:c r="G60" s="81" t="str"/>
      <x:c r="H60" s="84" t="str">
        <x:f>IF(C60="","",C60-WEEKDAY(C60,2)+1)</x:f>
      </x:c>
      <x:c r="I60" s="81" t="n">
        <x:f>IF(D60="Small task",1,IF(D60="Medium task",2,IF(D60="Large task",3,0)))</x:f>
        <x:v>0</x:v>
      </x:c>
      <x:c r="J60" s="81" t="n">
        <x:f>IF(AND(A60&lt;&gt;"",G60&lt;&gt;"Done"),1,0)</x:f>
        <x:v>0</x:v>
      </x:c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81" t="str"/>
      <x:c r="B61" s="81" t="str"/>
      <x:c r="C61" s="84"/>
      <x:c r="D61" s="81" t="str"/>
      <x:c r="E61" s="81"/>
      <x:c r="F61" s="81" t="str"/>
      <x:c r="G61" s="81" t="str"/>
      <x:c r="H61" s="84" t="str">
        <x:f>IF(C61="","",C61-WEEKDAY(C61,2)+1)</x:f>
      </x:c>
      <x:c r="I61" s="81" t="n">
        <x:f>IF(D61="Small task",1,IF(D61="Medium task",2,IF(D61="Large task",3,0)))</x:f>
        <x:v>0</x:v>
      </x:c>
      <x:c r="J61" s="81" t="n">
        <x:f>IF(AND(A61&lt;&gt;"",G61&lt;&gt;"Done"),1,0)</x:f>
        <x:v>0</x:v>
      </x:c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81" t="str"/>
      <x:c r="B62" s="81" t="str"/>
      <x:c r="C62" s="84"/>
      <x:c r="D62" s="81" t="str"/>
      <x:c r="E62" s="81"/>
      <x:c r="F62" s="81" t="str"/>
      <x:c r="G62" s="81" t="str"/>
      <x:c r="H62" s="84" t="str">
        <x:f>IF(C62="","",C62-WEEKDAY(C62,2)+1)</x:f>
      </x:c>
      <x:c r="I62" s="81" t="n">
        <x:f>IF(D62="Small task",1,IF(D62="Medium task",2,IF(D62="Large task",3,0)))</x:f>
        <x:v>0</x:v>
      </x:c>
      <x:c r="J62" s="81" t="n">
        <x:f>IF(AND(A62&lt;&gt;"",G62&lt;&gt;"Done"),1,0)</x:f>
        <x:v>0</x:v>
      </x:c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81" t="str"/>
      <x:c r="B63" s="81" t="str"/>
      <x:c r="C63" s="84"/>
      <x:c r="D63" s="81" t="str"/>
      <x:c r="E63" s="81"/>
      <x:c r="F63" s="81" t="str"/>
      <x:c r="G63" s="81" t="str"/>
      <x:c r="H63" s="84" t="str">
        <x:f>IF(C63="","",C63-WEEKDAY(C63,2)+1)</x:f>
      </x:c>
      <x:c r="I63" s="81" t="n">
        <x:f>IF(D63="Small task",1,IF(D63="Medium task",2,IF(D63="Large task",3,0)))</x:f>
        <x:v>0</x:v>
      </x:c>
      <x:c r="J63" s="81" t="n">
        <x:f>IF(AND(A63&lt;&gt;"",G63&lt;&gt;"Done"),1,0)</x:f>
        <x:v>0</x:v>
      </x:c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81" t="str"/>
      <x:c r="B64" s="81" t="str"/>
      <x:c r="C64" s="84"/>
      <x:c r="D64" s="81" t="str"/>
      <x:c r="E64" s="81"/>
      <x:c r="F64" s="81" t="str"/>
      <x:c r="G64" s="81" t="str"/>
      <x:c r="H64" s="84" t="str">
        <x:f>IF(C64="","",C64-WEEKDAY(C64,2)+1)</x:f>
      </x:c>
      <x:c r="I64" s="81" t="n">
        <x:f>IF(D64="Small task",1,IF(D64="Medium task",2,IF(D64="Large task",3,0)))</x:f>
        <x:v>0</x:v>
      </x:c>
      <x:c r="J64" s="81" t="n">
        <x:f>IF(AND(A64&lt;&gt;"",G64&lt;&gt;"Done"),1,0)</x:f>
        <x:v>0</x:v>
      </x:c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81" t="str"/>
      <x:c r="B65" s="81" t="str"/>
      <x:c r="C65" s="84"/>
      <x:c r="D65" s="81" t="str"/>
      <x:c r="E65" s="81"/>
      <x:c r="F65" s="81" t="str"/>
      <x:c r="G65" s="81" t="str"/>
      <x:c r="H65" s="84" t="str">
        <x:f>IF(C65="","",C65-WEEKDAY(C65,2)+1)</x:f>
      </x:c>
      <x:c r="I65" s="81" t="n">
        <x:f>IF(D65="Small task",1,IF(D65="Medium task",2,IF(D65="Large task",3,0)))</x:f>
        <x:v>0</x:v>
      </x:c>
      <x:c r="J65" s="81" t="n">
        <x:f>IF(AND(A65&lt;&gt;"",G65&lt;&gt;"Done"),1,0)</x:f>
        <x:v>0</x:v>
      </x:c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81" t="str"/>
      <x:c r="B66" s="81" t="str"/>
      <x:c r="C66" s="84"/>
      <x:c r="D66" s="81" t="str"/>
      <x:c r="E66" s="81"/>
      <x:c r="F66" s="81" t="str"/>
      <x:c r="G66" s="81" t="str"/>
      <x:c r="H66" s="84" t="str">
        <x:f>IF(C66="","",C66-WEEKDAY(C66,2)+1)</x:f>
      </x:c>
      <x:c r="I66" s="81" t="n">
        <x:f>IF(D66="Small task",1,IF(D66="Medium task",2,IF(D66="Large task",3,0)))</x:f>
        <x:v>0</x:v>
      </x:c>
      <x:c r="J66" s="81" t="n">
        <x:f>IF(AND(A66&lt;&gt;"",G66&lt;&gt;"Done"),1,0)</x:f>
        <x:v>0</x:v>
      </x:c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81" t="str"/>
      <x:c r="B67" s="81" t="str"/>
      <x:c r="C67" s="84"/>
      <x:c r="D67" s="81" t="str"/>
      <x:c r="E67" s="81"/>
      <x:c r="F67" s="81" t="str"/>
      <x:c r="G67" s="81" t="str"/>
      <x:c r="H67" s="84" t="str">
        <x:f>IF(C67="","",C67-WEEKDAY(C67,2)+1)</x:f>
      </x:c>
      <x:c r="I67" s="81" t="n">
        <x:f>IF(D67="Small task",1,IF(D67="Medium task",2,IF(D67="Large task",3,0)))</x:f>
        <x:v>0</x:v>
      </x:c>
      <x:c r="J67" s="81" t="n">
        <x:f>IF(AND(A67&lt;&gt;"",G67&lt;&gt;"Done"),1,0)</x:f>
        <x:v>0</x:v>
      </x:c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81" t="str"/>
      <x:c r="B68" s="81" t="str"/>
      <x:c r="C68" s="84"/>
      <x:c r="D68" s="81" t="str"/>
      <x:c r="E68" s="81"/>
      <x:c r="F68" s="81" t="str"/>
      <x:c r="G68" s="81" t="str"/>
      <x:c r="H68" s="84" t="str">
        <x:f>IF(C68="","",C68-WEEKDAY(C68,2)+1)</x:f>
      </x:c>
      <x:c r="I68" s="81" t="n">
        <x:f>IF(D68="Small task",1,IF(D68="Medium task",2,IF(D68="Large task",3,0)))</x:f>
        <x:v>0</x:v>
      </x:c>
      <x:c r="J68" s="81" t="n">
        <x:f>IF(AND(A68&lt;&gt;"",G68&lt;&gt;"Done"),1,0)</x:f>
        <x:v>0</x:v>
      </x:c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81" t="str"/>
      <x:c r="B69" s="81" t="str"/>
      <x:c r="C69" s="84"/>
      <x:c r="D69" s="81" t="str"/>
      <x:c r="E69" s="81"/>
      <x:c r="F69" s="81" t="str"/>
      <x:c r="G69" s="81" t="str"/>
      <x:c r="H69" s="84" t="str">
        <x:f>IF(C69="","",C69-WEEKDAY(C69,2)+1)</x:f>
      </x:c>
      <x:c r="I69" s="81" t="n">
        <x:f>IF(D69="Small task",1,IF(D69="Medium task",2,IF(D69="Large task",3,0)))</x:f>
        <x:v>0</x:v>
      </x:c>
      <x:c r="J69" s="81" t="n">
        <x:f>IF(AND(A69&lt;&gt;"",G69&lt;&gt;"Done"),1,0)</x:f>
        <x:v>0</x:v>
      </x:c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81" t="str"/>
      <x:c r="B70" s="81" t="str"/>
      <x:c r="C70" s="84"/>
      <x:c r="D70" s="81" t="str"/>
      <x:c r="E70" s="81"/>
      <x:c r="F70" s="81" t="str"/>
      <x:c r="G70" s="81" t="str"/>
      <x:c r="H70" s="84" t="str">
        <x:f>IF(C70="","",C70-WEEKDAY(C70,2)+1)</x:f>
      </x:c>
      <x:c r="I70" s="81" t="n">
        <x:f>IF(D70="Small task",1,IF(D70="Medium task",2,IF(D70="Large task",3,0)))</x:f>
        <x:v>0</x:v>
      </x:c>
      <x:c r="J70" s="81" t="n">
        <x:f>IF(AND(A70&lt;&gt;"",G70&lt;&gt;"Done"),1,0)</x:f>
        <x:v>0</x:v>
      </x:c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81" t="str"/>
      <x:c r="B71" s="81" t="str"/>
      <x:c r="C71" s="84"/>
      <x:c r="D71" s="81" t="str"/>
      <x:c r="E71" s="81"/>
      <x:c r="F71" s="81" t="str"/>
      <x:c r="G71" s="81" t="str"/>
      <x:c r="H71" s="84" t="str">
        <x:f>IF(C71="","",C71-WEEKDAY(C71,2)+1)</x:f>
      </x:c>
      <x:c r="I71" s="81" t="n">
        <x:f>IF(D71="Small task",1,IF(D71="Medium task",2,IF(D71="Large task",3,0)))</x:f>
        <x:v>0</x:v>
      </x:c>
      <x:c r="J71" s="81" t="n">
        <x:f>IF(AND(A71&lt;&gt;"",G71&lt;&gt;"Done"),1,0)</x:f>
        <x:v>0</x:v>
      </x:c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81" t="str"/>
      <x:c r="B72" s="81" t="str"/>
      <x:c r="C72" s="84"/>
      <x:c r="D72" s="81" t="str"/>
      <x:c r="E72" s="81"/>
      <x:c r="F72" s="81" t="str"/>
      <x:c r="G72" s="81" t="str"/>
      <x:c r="H72" s="84" t="str">
        <x:f>IF(C72="","",C72-WEEKDAY(C72,2)+1)</x:f>
      </x:c>
      <x:c r="I72" s="81" t="n">
        <x:f>IF(D72="Small task",1,IF(D72="Medium task",2,IF(D72="Large task",3,0)))</x:f>
        <x:v>0</x:v>
      </x:c>
      <x:c r="J72" s="81" t="n">
        <x:f>IF(AND(A72&lt;&gt;"",G72&lt;&gt;"Done"),1,0)</x:f>
        <x:v>0</x:v>
      </x:c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81" t="str"/>
      <x:c r="B73" s="81" t="str"/>
      <x:c r="C73" s="84"/>
      <x:c r="D73" s="81" t="str"/>
      <x:c r="E73" s="81"/>
      <x:c r="F73" s="81" t="str"/>
      <x:c r="G73" s="81" t="str"/>
      <x:c r="H73" s="84" t="str">
        <x:f>IF(C73="","",C73-WEEKDAY(C73,2)+1)</x:f>
      </x:c>
      <x:c r="I73" s="81" t="n">
        <x:f>IF(D73="Small task",1,IF(D73="Medium task",2,IF(D73="Large task",3,0)))</x:f>
        <x:v>0</x:v>
      </x:c>
      <x:c r="J73" s="81" t="n">
        <x:f>IF(AND(A73&lt;&gt;"",G73&lt;&gt;"Done"),1,0)</x:f>
        <x:v>0</x:v>
      </x:c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81" t="str"/>
      <x:c r="B74" s="81" t="str"/>
      <x:c r="C74" s="84"/>
      <x:c r="D74" s="81" t="str"/>
      <x:c r="E74" s="81"/>
      <x:c r="F74" s="81" t="str"/>
      <x:c r="G74" s="81" t="str"/>
      <x:c r="H74" s="84" t="str">
        <x:f>IF(C74="","",C74-WEEKDAY(C74,2)+1)</x:f>
      </x:c>
      <x:c r="I74" s="81" t="n">
        <x:f>IF(D74="Small task",1,IF(D74="Medium task",2,IF(D74="Large task",3,0)))</x:f>
        <x:v>0</x:v>
      </x:c>
      <x:c r="J74" s="81" t="n">
        <x:f>IF(AND(A74&lt;&gt;"",G74&lt;&gt;"Done"),1,0)</x:f>
        <x:v>0</x:v>
      </x:c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81" t="str"/>
      <x:c r="B75" s="81" t="str"/>
      <x:c r="C75" s="84"/>
      <x:c r="D75" s="81" t="str"/>
      <x:c r="E75" s="81"/>
      <x:c r="F75" s="81" t="str"/>
      <x:c r="G75" s="81" t="str"/>
      <x:c r="H75" s="84" t="str">
        <x:f>IF(C75="","",C75-WEEKDAY(C75,2)+1)</x:f>
      </x:c>
      <x:c r="I75" s="81" t="n">
        <x:f>IF(D75="Small task",1,IF(D75="Medium task",2,IF(D75="Large task",3,0)))</x:f>
        <x:v>0</x:v>
      </x:c>
      <x:c r="J75" s="81" t="n">
        <x:f>IF(AND(A75&lt;&gt;"",G75&lt;&gt;"Done"),1,0)</x:f>
        <x:v>0</x:v>
      </x:c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81" t="str"/>
      <x:c r="B76" s="81" t="str"/>
      <x:c r="C76" s="84"/>
      <x:c r="D76" s="81" t="str"/>
      <x:c r="E76" s="81"/>
      <x:c r="F76" s="81" t="str"/>
      <x:c r="G76" s="81" t="str"/>
      <x:c r="H76" s="84" t="str">
        <x:f>IF(C76="","",C76-WEEKDAY(C76,2)+1)</x:f>
      </x:c>
      <x:c r="I76" s="81" t="n">
        <x:f>IF(D76="Small task",1,IF(D76="Medium task",2,IF(D76="Large task",3,0)))</x:f>
        <x:v>0</x:v>
      </x:c>
      <x:c r="J76" s="81" t="n">
        <x:f>IF(AND(A76&lt;&gt;"",G76&lt;&gt;"Done"),1,0)</x:f>
        <x:v>0</x:v>
      </x:c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81" t="str"/>
      <x:c r="B77" s="81" t="str"/>
      <x:c r="C77" s="84"/>
      <x:c r="D77" s="81" t="str"/>
      <x:c r="E77" s="81"/>
      <x:c r="F77" s="81" t="str"/>
      <x:c r="G77" s="81" t="str"/>
      <x:c r="H77" s="84" t="str">
        <x:f>IF(C77="","",C77-WEEKDAY(C77,2)+1)</x:f>
      </x:c>
      <x:c r="I77" s="81" t="n">
        <x:f>IF(D77="Small task",1,IF(D77="Medium task",2,IF(D77="Large task",3,0)))</x:f>
        <x:v>0</x:v>
      </x:c>
      <x:c r="J77" s="81" t="n">
        <x:f>IF(AND(A77&lt;&gt;"",G77&lt;&gt;"Done"),1,0)</x:f>
        <x:v>0</x:v>
      </x:c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81" t="str"/>
      <x:c r="B78" s="81" t="str"/>
      <x:c r="C78" s="84"/>
      <x:c r="D78" s="81" t="str"/>
      <x:c r="E78" s="81"/>
      <x:c r="F78" s="81" t="str"/>
      <x:c r="G78" s="81" t="str"/>
      <x:c r="H78" s="84" t="str">
        <x:f>IF(C78="","",C78-WEEKDAY(C78,2)+1)</x:f>
      </x:c>
      <x:c r="I78" s="81" t="n">
        <x:f>IF(D78="Small task",1,IF(D78="Medium task",2,IF(D78="Large task",3,0)))</x:f>
        <x:v>0</x:v>
      </x:c>
      <x:c r="J78" s="81" t="n">
        <x:f>IF(AND(A78&lt;&gt;"",G78&lt;&gt;"Done"),1,0)</x:f>
        <x:v>0</x:v>
      </x:c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81" t="str"/>
      <x:c r="B79" s="81" t="str"/>
      <x:c r="C79" s="84"/>
      <x:c r="D79" s="81" t="str"/>
      <x:c r="E79" s="81"/>
      <x:c r="F79" s="81" t="str"/>
      <x:c r="G79" s="81" t="str"/>
      <x:c r="H79" s="84" t="str">
        <x:f>IF(C79="","",C79-WEEKDAY(C79,2)+1)</x:f>
      </x:c>
      <x:c r="I79" s="81" t="n">
        <x:f>IF(D79="Small task",1,IF(D79="Medium task",2,IF(D79="Large task",3,0)))</x:f>
        <x:v>0</x:v>
      </x:c>
      <x:c r="J79" s="81" t="n">
        <x:f>IF(AND(A79&lt;&gt;"",G79&lt;&gt;"Done"),1,0)</x:f>
        <x:v>0</x:v>
      </x:c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81" t="str"/>
      <x:c r="B80" s="81" t="str"/>
      <x:c r="C80" s="84"/>
      <x:c r="D80" s="81" t="str"/>
      <x:c r="E80" s="81"/>
      <x:c r="F80" s="81" t="str"/>
      <x:c r="G80" s="81" t="str"/>
      <x:c r="H80" s="84" t="str">
        <x:f>IF(C80="","",C80-WEEKDAY(C80,2)+1)</x:f>
      </x:c>
      <x:c r="I80" s="81" t="n">
        <x:f>IF(D80="Small task",1,IF(D80="Medium task",2,IF(D80="Large task",3,0)))</x:f>
        <x:v>0</x:v>
      </x:c>
      <x:c r="J80" s="81" t="n">
        <x:f>IF(AND(A80&lt;&gt;"",G80&lt;&gt;"Done"),1,0)</x:f>
        <x:v>0</x:v>
      </x:c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81" t="str"/>
      <x:c r="B81" s="81" t="str"/>
      <x:c r="C81" s="84"/>
      <x:c r="D81" s="81" t="str"/>
      <x:c r="E81" s="81"/>
      <x:c r="F81" s="81" t="str"/>
      <x:c r="G81" s="81" t="str"/>
      <x:c r="H81" s="84" t="str">
        <x:f>IF(C81="","",C81-WEEKDAY(C81,2)+1)</x:f>
      </x:c>
      <x:c r="I81" s="81" t="n">
        <x:f>IF(D81="Small task",1,IF(D81="Medium task",2,IF(D81="Large task",3,0)))</x:f>
        <x:v>0</x:v>
      </x:c>
      <x:c r="J81" s="81" t="n">
        <x:f>IF(AND(A81&lt;&gt;"",G81&lt;&gt;"Done"),1,0)</x:f>
        <x:v>0</x:v>
      </x:c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81" t="str"/>
      <x:c r="B82" s="81" t="str"/>
      <x:c r="C82" s="84"/>
      <x:c r="D82" s="81" t="str"/>
      <x:c r="E82" s="81"/>
      <x:c r="F82" s="81" t="str"/>
      <x:c r="G82" s="81" t="str"/>
      <x:c r="H82" s="84" t="str">
        <x:f>IF(C82="","",C82-WEEKDAY(C82,2)+1)</x:f>
      </x:c>
      <x:c r="I82" s="81" t="n">
        <x:f>IF(D82="Small task",1,IF(D82="Medium task",2,IF(D82="Large task",3,0)))</x:f>
        <x:v>0</x:v>
      </x:c>
      <x:c r="J82" s="81" t="n">
        <x:f>IF(AND(A82&lt;&gt;"",G82&lt;&gt;"Done"),1,0)</x:f>
        <x:v>0</x:v>
      </x:c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81" t="str"/>
      <x:c r="B83" s="81" t="str"/>
      <x:c r="C83" s="84"/>
      <x:c r="D83" s="81" t="str"/>
      <x:c r="E83" s="81"/>
      <x:c r="F83" s="81" t="str"/>
      <x:c r="G83" s="81" t="str"/>
      <x:c r="H83" s="84" t="str">
        <x:f>IF(C83="","",C83-WEEKDAY(C83,2)+1)</x:f>
      </x:c>
      <x:c r="I83" s="81" t="n">
        <x:f>IF(D83="Small task",1,IF(D83="Medium task",2,IF(D83="Large task",3,0)))</x:f>
        <x:v>0</x:v>
      </x:c>
      <x:c r="J83" s="81" t="n">
        <x:f>IF(AND(A83&lt;&gt;"",G83&lt;&gt;"Done"),1,0)</x:f>
        <x:v>0</x:v>
      </x:c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81" t="str"/>
      <x:c r="B84" s="81" t="str"/>
      <x:c r="C84" s="84"/>
      <x:c r="D84" s="81" t="str"/>
      <x:c r="E84" s="81"/>
      <x:c r="F84" s="81" t="str"/>
      <x:c r="G84" s="81" t="str"/>
      <x:c r="H84" s="84" t="str">
        <x:f>IF(C84="","",C84-WEEKDAY(C84,2)+1)</x:f>
      </x:c>
      <x:c r="I84" s="81" t="n">
        <x:f>IF(D84="Small task",1,IF(D84="Medium task",2,IF(D84="Large task",3,0)))</x:f>
        <x:v>0</x:v>
      </x:c>
      <x:c r="J84" s="81" t="n">
        <x:f>IF(AND(A84&lt;&gt;"",G84&lt;&gt;"Done"),1,0)</x:f>
        <x:v>0</x:v>
      </x:c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81" t="str"/>
      <x:c r="B85" s="81" t="str"/>
      <x:c r="C85" s="84"/>
      <x:c r="D85" s="81" t="str"/>
      <x:c r="E85" s="81"/>
      <x:c r="F85" s="81" t="str"/>
      <x:c r="G85" s="81" t="str"/>
      <x:c r="H85" s="84" t="str">
        <x:f>IF(C85="","",C85-WEEKDAY(C85,2)+1)</x:f>
      </x:c>
      <x:c r="I85" s="81" t="n">
        <x:f>IF(D85="Small task",1,IF(D85="Medium task",2,IF(D85="Large task",3,0)))</x:f>
        <x:v>0</x:v>
      </x:c>
      <x:c r="J85" s="81" t="n">
        <x:f>IF(AND(A85&lt;&gt;"",G85&lt;&gt;"Done"),1,0)</x:f>
        <x:v>0</x:v>
      </x:c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81" t="str"/>
      <x:c r="B86" s="81" t="str"/>
      <x:c r="C86" s="84"/>
      <x:c r="D86" s="81" t="str"/>
      <x:c r="E86" s="81"/>
      <x:c r="F86" s="81" t="str"/>
      <x:c r="G86" s="81" t="str"/>
      <x:c r="H86" s="84" t="str">
        <x:f>IF(C86="","",C86-WEEKDAY(C86,2)+1)</x:f>
      </x:c>
      <x:c r="I86" s="81" t="n">
        <x:f>IF(D86="Small task",1,IF(D86="Medium task",2,IF(D86="Large task",3,0)))</x:f>
        <x:v>0</x:v>
      </x:c>
      <x:c r="J86" s="81" t="n">
        <x:f>IF(AND(A86&lt;&gt;"",G86&lt;&gt;"Done"),1,0)</x:f>
        <x:v>0</x:v>
      </x:c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81" t="str"/>
      <x:c r="B87" s="81" t="str"/>
      <x:c r="C87" s="84"/>
      <x:c r="D87" s="81" t="str"/>
      <x:c r="E87" s="81"/>
      <x:c r="F87" s="81" t="str"/>
      <x:c r="G87" s="81" t="str"/>
      <x:c r="H87" s="84" t="str">
        <x:f>IF(C87="","",C87-WEEKDAY(C87,2)+1)</x:f>
      </x:c>
      <x:c r="I87" s="81" t="n">
        <x:f>IF(D87="Small task",1,IF(D87="Medium task",2,IF(D87="Large task",3,0)))</x:f>
        <x:v>0</x:v>
      </x:c>
      <x:c r="J87" s="81" t="n">
        <x:f>IF(AND(A87&lt;&gt;"",G87&lt;&gt;"Done"),1,0)</x:f>
        <x:v>0</x:v>
      </x:c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81" t="str"/>
      <x:c r="B88" s="81" t="str"/>
      <x:c r="C88" s="84"/>
      <x:c r="D88" s="81" t="str"/>
      <x:c r="E88" s="81"/>
      <x:c r="F88" s="81" t="str"/>
      <x:c r="G88" s="81" t="str"/>
      <x:c r="H88" s="84" t="str">
        <x:f>IF(C88="","",C88-WEEKDAY(C88,2)+1)</x:f>
      </x:c>
      <x:c r="I88" s="81" t="n">
        <x:f>IF(D88="Small task",1,IF(D88="Medium task",2,IF(D88="Large task",3,0)))</x:f>
        <x:v>0</x:v>
      </x:c>
      <x:c r="J88" s="81" t="n">
        <x:f>IF(AND(A88&lt;&gt;"",G88&lt;&gt;"Done"),1,0)</x:f>
        <x:v>0</x:v>
      </x:c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81" t="str"/>
      <x:c r="B89" s="81" t="str"/>
      <x:c r="C89" s="84"/>
      <x:c r="D89" s="81" t="str"/>
      <x:c r="E89" s="81"/>
      <x:c r="F89" s="81" t="str"/>
      <x:c r="G89" s="81" t="str"/>
      <x:c r="H89" s="84" t="str">
        <x:f>IF(C89="","",C89-WEEKDAY(C89,2)+1)</x:f>
      </x:c>
      <x:c r="I89" s="81" t="n">
        <x:f>IF(D89="Small task",1,IF(D89="Medium task",2,IF(D89="Large task",3,0)))</x:f>
        <x:v>0</x:v>
      </x:c>
      <x:c r="J89" s="81" t="n">
        <x:f>IF(AND(A89&lt;&gt;"",G89&lt;&gt;"Done"),1,0)</x:f>
        <x:v>0</x:v>
      </x:c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81" t="str"/>
      <x:c r="B90" s="81" t="str"/>
      <x:c r="C90" s="84"/>
      <x:c r="D90" s="81" t="str"/>
      <x:c r="E90" s="81"/>
      <x:c r="F90" s="81" t="str"/>
      <x:c r="G90" s="81" t="str"/>
      <x:c r="H90" s="84" t="str">
        <x:f>IF(C90="","",C90-WEEKDAY(C90,2)+1)</x:f>
      </x:c>
      <x:c r="I90" s="81" t="n">
        <x:f>IF(D90="Small task",1,IF(D90="Medium task",2,IF(D90="Large task",3,0)))</x:f>
        <x:v>0</x:v>
      </x:c>
      <x:c r="J90" s="81" t="n">
        <x:f>IF(AND(A90&lt;&gt;"",G90&lt;&gt;"Done"),1,0)</x:f>
        <x:v>0</x:v>
      </x:c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81" t="str"/>
      <x:c r="B91" s="81" t="str"/>
      <x:c r="C91" s="84"/>
      <x:c r="D91" s="81" t="str"/>
      <x:c r="E91" s="81"/>
      <x:c r="F91" s="81" t="str"/>
      <x:c r="G91" s="81" t="str"/>
      <x:c r="H91" s="84" t="str">
        <x:f>IF(C91="","",C91-WEEKDAY(C91,2)+1)</x:f>
      </x:c>
      <x:c r="I91" s="81" t="n">
        <x:f>IF(D91="Small task",1,IF(D91="Medium task",2,IF(D91="Large task",3,0)))</x:f>
        <x:v>0</x:v>
      </x:c>
      <x:c r="J91" s="81" t="n">
        <x:f>IF(AND(A91&lt;&gt;"",G91&lt;&gt;"Done"),1,0)</x:f>
        <x:v>0</x:v>
      </x:c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81" t="str"/>
      <x:c r="B92" s="81" t="str"/>
      <x:c r="C92" s="84"/>
      <x:c r="D92" s="81" t="str"/>
      <x:c r="E92" s="81"/>
      <x:c r="F92" s="81" t="str"/>
      <x:c r="G92" s="81" t="str"/>
      <x:c r="H92" s="84" t="str">
        <x:f>IF(C92="","",C92-WEEKDAY(C92,2)+1)</x:f>
      </x:c>
      <x:c r="I92" s="81" t="n">
        <x:f>IF(D92="Small task",1,IF(D92="Medium task",2,IF(D92="Large task",3,0)))</x:f>
        <x:v>0</x:v>
      </x:c>
      <x:c r="J92" s="81" t="n">
        <x:f>IF(AND(A92&lt;&gt;"",G92&lt;&gt;"Done"),1,0)</x:f>
        <x:v>0</x:v>
      </x:c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81" t="str"/>
      <x:c r="B93" s="81" t="str"/>
      <x:c r="C93" s="84"/>
      <x:c r="D93" s="81" t="str"/>
      <x:c r="E93" s="81"/>
      <x:c r="F93" s="81" t="str"/>
      <x:c r="G93" s="81" t="str"/>
      <x:c r="H93" s="84" t="str">
        <x:f>IF(C93="","",C93-WEEKDAY(C93,2)+1)</x:f>
      </x:c>
      <x:c r="I93" s="81" t="n">
        <x:f>IF(D93="Small task",1,IF(D93="Medium task",2,IF(D93="Large task",3,0)))</x:f>
        <x:v>0</x:v>
      </x:c>
      <x:c r="J93" s="81" t="n">
        <x:f>IF(AND(A93&lt;&gt;"",G93&lt;&gt;"Done"),1,0)</x:f>
        <x:v>0</x:v>
      </x:c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81" t="str"/>
      <x:c r="B94" s="81" t="str"/>
      <x:c r="C94" s="84"/>
      <x:c r="D94" s="81" t="str"/>
      <x:c r="E94" s="81"/>
      <x:c r="F94" s="81" t="str"/>
      <x:c r="G94" s="81" t="str"/>
      <x:c r="H94" s="84" t="str">
        <x:f>IF(C94="","",C94-WEEKDAY(C94,2)+1)</x:f>
      </x:c>
      <x:c r="I94" s="81" t="n">
        <x:f>IF(D94="Small task",1,IF(D94="Medium task",2,IF(D94="Large task",3,0)))</x:f>
        <x:v>0</x:v>
      </x:c>
      <x:c r="J94" s="81" t="n">
        <x:f>IF(AND(A94&lt;&gt;"",G94&lt;&gt;"Done"),1,0)</x:f>
        <x:v>0</x:v>
      </x:c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81" t="str"/>
      <x:c r="B95" s="81" t="str"/>
      <x:c r="C95" s="84"/>
      <x:c r="D95" s="81" t="str"/>
      <x:c r="E95" s="81"/>
      <x:c r="F95" s="81" t="str"/>
      <x:c r="G95" s="81" t="str"/>
      <x:c r="H95" s="84" t="str">
        <x:f>IF(C95="","",C95-WEEKDAY(C95,2)+1)</x:f>
      </x:c>
      <x:c r="I95" s="81" t="n">
        <x:f>IF(D95="Small task",1,IF(D95="Medium task",2,IF(D95="Large task",3,0)))</x:f>
        <x:v>0</x:v>
      </x:c>
      <x:c r="J95" s="81" t="n">
        <x:f>IF(AND(A95&lt;&gt;"",G95&lt;&gt;"Done"),1,0)</x:f>
        <x:v>0</x:v>
      </x:c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81" t="str"/>
      <x:c r="B96" s="81" t="str"/>
      <x:c r="C96" s="84"/>
      <x:c r="D96" s="81" t="str"/>
      <x:c r="E96" s="81"/>
      <x:c r="F96" s="81" t="str"/>
      <x:c r="G96" s="81" t="str"/>
      <x:c r="H96" s="84" t="str">
        <x:f>IF(C96="","",C96-WEEKDAY(C96,2)+1)</x:f>
      </x:c>
      <x:c r="I96" s="81" t="n">
        <x:f>IF(D96="Small task",1,IF(D96="Medium task",2,IF(D96="Large task",3,0)))</x:f>
        <x:v>0</x:v>
      </x:c>
      <x:c r="J96" s="81" t="n">
        <x:f>IF(AND(A96&lt;&gt;"",G96&lt;&gt;"Done"),1,0)</x:f>
        <x:v>0</x:v>
      </x:c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81" t="str"/>
      <x:c r="B97" s="81" t="str"/>
      <x:c r="C97" s="84"/>
      <x:c r="D97" s="81" t="str"/>
      <x:c r="E97" s="81"/>
      <x:c r="F97" s="81" t="str"/>
      <x:c r="G97" s="81" t="str"/>
      <x:c r="H97" s="84" t="str">
        <x:f>IF(C97="","",C97-WEEKDAY(C97,2)+1)</x:f>
      </x:c>
      <x:c r="I97" s="81" t="n">
        <x:f>IF(D97="Small task",1,IF(D97="Medium task",2,IF(D97="Large task",3,0)))</x:f>
        <x:v>0</x:v>
      </x:c>
      <x:c r="J97" s="81" t="n">
        <x:f>IF(AND(A97&lt;&gt;"",G97&lt;&gt;"Done"),1,0)</x:f>
        <x:v>0</x:v>
      </x:c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81" t="str"/>
      <x:c r="B98" s="81" t="str"/>
      <x:c r="C98" s="84"/>
      <x:c r="D98" s="81" t="str"/>
      <x:c r="E98" s="81"/>
      <x:c r="F98" s="81" t="str"/>
      <x:c r="G98" s="81" t="str"/>
      <x:c r="H98" s="84" t="str">
        <x:f>IF(C98="","",C98-WEEKDAY(C98,2)+1)</x:f>
      </x:c>
      <x:c r="I98" s="81" t="n">
        <x:f>IF(D98="Small task",1,IF(D98="Medium task",2,IF(D98="Large task",3,0)))</x:f>
        <x:v>0</x:v>
      </x:c>
      <x:c r="J98" s="81" t="n">
        <x:f>IF(AND(A98&lt;&gt;"",G98&lt;&gt;"Done"),1,0)</x:f>
        <x:v>0</x:v>
      </x:c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81" t="str"/>
      <x:c r="B99" s="81" t="str"/>
      <x:c r="C99" s="84"/>
      <x:c r="D99" s="81" t="str"/>
      <x:c r="E99" s="81"/>
      <x:c r="F99" s="81" t="str"/>
      <x:c r="G99" s="81" t="str"/>
      <x:c r="H99" s="84" t="str">
        <x:f>IF(C99="","",C99-WEEKDAY(C99,2)+1)</x:f>
      </x:c>
      <x:c r="I99" s="81" t="n">
        <x:f>IF(D99="Small task",1,IF(D99="Medium task",2,IF(D99="Large task",3,0)))</x:f>
        <x:v>0</x:v>
      </x:c>
      <x:c r="J99" s="81" t="n">
        <x:f>IF(AND(A99&lt;&gt;"",G99&lt;&gt;"Done"),1,0)</x:f>
        <x:v>0</x:v>
      </x:c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81" t="str"/>
      <x:c r="B100" s="81" t="str"/>
      <x:c r="C100" s="84"/>
      <x:c r="D100" s="81" t="str"/>
      <x:c r="E100" s="81"/>
      <x:c r="F100" s="81" t="str"/>
      <x:c r="G100" s="81" t="str"/>
      <x:c r="H100" s="84" t="str">
        <x:f>IF(C100="","",C100-WEEKDAY(C100,2)+1)</x:f>
      </x:c>
      <x:c r="I100" s="81" t="n">
        <x:f>IF(D100="Small task",1,IF(D100="Medium task",2,IF(D100="Large task",3,0)))</x:f>
        <x:v>0</x:v>
      </x:c>
      <x:c r="J100" s="81" t="n">
        <x:f>IF(AND(A100&lt;&gt;"",G100&lt;&gt;"Done"),1,0)</x:f>
        <x:v>0</x:v>
      </x:c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81" t="str"/>
      <x:c r="B101" s="81" t="str"/>
      <x:c r="C101" s="84"/>
      <x:c r="D101" s="81" t="str"/>
      <x:c r="E101" s="81"/>
      <x:c r="F101" s="81" t="str"/>
      <x:c r="G101" s="81" t="str"/>
      <x:c r="H101" s="84" t="str">
        <x:f>IF(C101="","",C101-WEEKDAY(C101,2)+1)</x:f>
      </x:c>
      <x:c r="I101" s="81" t="n">
        <x:f>IF(D101="Small task",1,IF(D101="Medium task",2,IF(D101="Large task",3,0)))</x:f>
        <x:v>0</x:v>
      </x:c>
      <x:c r="J101" s="81" t="n">
        <x:f>IF(AND(A101&lt;&gt;"",G101&lt;&gt;"Done"),1,0)</x:f>
        <x:v>0</x:v>
      </x:c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81" t="str"/>
      <x:c r="B102" s="81" t="str"/>
      <x:c r="C102" s="84"/>
      <x:c r="D102" s="81" t="str"/>
      <x:c r="E102" s="81"/>
      <x:c r="F102" s="81" t="str"/>
      <x:c r="G102" s="81" t="str"/>
      <x:c r="H102" s="84" t="str">
        <x:f>IF(C102="","",C102-WEEKDAY(C102,2)+1)</x:f>
      </x:c>
      <x:c r="I102" s="81" t="n">
        <x:f>IF(D102="Small task",1,IF(D102="Medium task",2,IF(D102="Large task",3,0)))</x:f>
        <x:v>0</x:v>
      </x:c>
      <x:c r="J102" s="81" t="n">
        <x:f>IF(AND(A102&lt;&gt;"",G102&lt;&gt;"Done"),1,0)</x:f>
        <x:v>0</x:v>
      </x:c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81" t="str"/>
      <x:c r="B103" s="81" t="str"/>
      <x:c r="C103" s="84"/>
      <x:c r="D103" s="81" t="str"/>
      <x:c r="E103" s="81"/>
      <x:c r="F103" s="81" t="str"/>
      <x:c r="G103" s="81" t="str"/>
      <x:c r="H103" s="84" t="str">
        <x:f>IF(C103="","",C103-WEEKDAY(C103,2)+1)</x:f>
      </x:c>
      <x:c r="I103" s="81" t="n">
        <x:f>IF(D103="Small task",1,IF(D103="Medium task",2,IF(D103="Large task",3,0)))</x:f>
        <x:v>0</x:v>
      </x:c>
      <x:c r="J103" s="81" t="n">
        <x:f>IF(AND(A103&lt;&gt;"",G103&lt;&gt;"Done"),1,0)</x:f>
        <x:v>0</x:v>
      </x:c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81" t="str"/>
      <x:c r="B104" s="81" t="str"/>
      <x:c r="C104" s="84"/>
      <x:c r="D104" s="81" t="str"/>
      <x:c r="E104" s="81"/>
      <x:c r="F104" s="81" t="str"/>
      <x:c r="G104" s="81" t="str"/>
      <x:c r="H104" s="84" t="str">
        <x:f>IF(C104="","",C104-WEEKDAY(C104,2)+1)</x:f>
      </x:c>
      <x:c r="I104" s="81" t="n">
        <x:f>IF(D104="Small task",1,IF(D104="Medium task",2,IF(D104="Large task",3,0)))</x:f>
        <x:v>0</x:v>
      </x:c>
      <x:c r="J104" s="81" t="n">
        <x:f>IF(AND(A104&lt;&gt;"",G104&lt;&gt;"Done"),1,0)</x:f>
        <x:v>0</x:v>
      </x:c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81" t="str"/>
      <x:c r="B105" s="81" t="str"/>
      <x:c r="C105" s="84"/>
      <x:c r="D105" s="81" t="str"/>
      <x:c r="E105" s="81"/>
      <x:c r="F105" s="81" t="str"/>
      <x:c r="G105" s="81" t="str"/>
      <x:c r="H105" s="84" t="str">
        <x:f>IF(C105="","",C105-WEEKDAY(C105,2)+1)</x:f>
      </x:c>
      <x:c r="I105" s="81" t="n">
        <x:f>IF(D105="Small task",1,IF(D105="Medium task",2,IF(D105="Large task",3,0)))</x:f>
        <x:v>0</x:v>
      </x:c>
      <x:c r="J105" s="81" t="n">
        <x:f>IF(AND(A105&lt;&gt;"",G105&lt;&gt;"Done"),1,0)</x:f>
        <x:v>0</x:v>
      </x:c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81" t="str"/>
      <x:c r="B106" s="81" t="str"/>
      <x:c r="C106" s="84"/>
      <x:c r="D106" s="81" t="str"/>
      <x:c r="E106" s="81"/>
      <x:c r="F106" s="81" t="str"/>
      <x:c r="G106" s="81" t="str"/>
      <x:c r="H106" s="84" t="str">
        <x:f>IF(C106="","",C106-WEEKDAY(C106,2)+1)</x:f>
      </x:c>
      <x:c r="I106" s="81" t="n">
        <x:f>IF(D106="Small task",1,IF(D106="Medium task",2,IF(D106="Large task",3,0)))</x:f>
        <x:v>0</x:v>
      </x:c>
      <x:c r="J106" s="81" t="n">
        <x:f>IF(AND(A106&lt;&gt;"",G106&lt;&gt;"Done"),1,0)</x:f>
        <x:v>0</x:v>
      </x:c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81" t="str"/>
      <x:c r="B107" s="81" t="str"/>
      <x:c r="C107" s="84"/>
      <x:c r="D107" s="81" t="str"/>
      <x:c r="E107" s="81"/>
      <x:c r="F107" s="81" t="str"/>
      <x:c r="G107" s="81" t="str"/>
      <x:c r="H107" s="84" t="str">
        <x:f>IF(C107="","",C107-WEEKDAY(C107,2)+1)</x:f>
      </x:c>
      <x:c r="I107" s="81" t="n">
        <x:f>IF(D107="Small task",1,IF(D107="Medium task",2,IF(D107="Large task",3,0)))</x:f>
        <x:v>0</x:v>
      </x:c>
      <x:c r="J107" s="81" t="n">
        <x:f>IF(AND(A107&lt;&gt;"",G107&lt;&gt;"Done"),1,0)</x:f>
        <x:v>0</x:v>
      </x:c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81" t="str"/>
      <x:c r="B108" s="81" t="str"/>
      <x:c r="C108" s="84"/>
      <x:c r="D108" s="81" t="str"/>
      <x:c r="E108" s="81"/>
      <x:c r="F108" s="81" t="str"/>
      <x:c r="G108" s="81" t="str"/>
      <x:c r="H108" s="84" t="str">
        <x:f>IF(C108="","",C108-WEEKDAY(C108,2)+1)</x:f>
      </x:c>
      <x:c r="I108" s="81" t="n">
        <x:f>IF(D108="Small task",1,IF(D108="Medium task",2,IF(D108="Large task",3,0)))</x:f>
        <x:v>0</x:v>
      </x:c>
      <x:c r="J108" s="81" t="n">
        <x:f>IF(AND(A108&lt;&gt;"",G108&lt;&gt;"Done"),1,0)</x:f>
        <x:v>0</x:v>
      </x:c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81" t="str"/>
      <x:c r="B109" s="81" t="str"/>
      <x:c r="C109" s="84"/>
      <x:c r="D109" s="81" t="str"/>
      <x:c r="E109" s="81"/>
      <x:c r="F109" s="81" t="str"/>
      <x:c r="G109" s="81" t="str"/>
      <x:c r="H109" s="84" t="str">
        <x:f>IF(C109="","",C109-WEEKDAY(C109,2)+1)</x:f>
      </x:c>
      <x:c r="I109" s="81" t="n">
        <x:f>IF(D109="Small task",1,IF(D109="Medium task",2,IF(D109="Large task",3,0)))</x:f>
        <x:v>0</x:v>
      </x:c>
      <x:c r="J109" s="81" t="n">
        <x:f>IF(AND(A109&lt;&gt;"",G109&lt;&gt;"Done"),1,0)</x:f>
        <x:v>0</x:v>
      </x:c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81" t="str"/>
      <x:c r="B110" s="81" t="str"/>
      <x:c r="C110" s="84"/>
      <x:c r="D110" s="81" t="str"/>
      <x:c r="E110" s="81"/>
      <x:c r="F110" s="81" t="str"/>
      <x:c r="G110" s="81" t="str"/>
      <x:c r="H110" s="84" t="str">
        <x:f>IF(C110="","",C110-WEEKDAY(C110,2)+1)</x:f>
      </x:c>
      <x:c r="I110" s="81" t="n">
        <x:f>IF(D110="Small task",1,IF(D110="Medium task",2,IF(D110="Large task",3,0)))</x:f>
        <x:v>0</x:v>
      </x:c>
      <x:c r="J110" s="81" t="n">
        <x:f>IF(AND(A110&lt;&gt;"",G110&lt;&gt;"Done"),1,0)</x:f>
        <x:v>0</x:v>
      </x:c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81" t="str"/>
      <x:c r="B111" s="81" t="str"/>
      <x:c r="C111" s="84"/>
      <x:c r="D111" s="81" t="str"/>
      <x:c r="E111" s="81"/>
      <x:c r="F111" s="81" t="str"/>
      <x:c r="G111" s="81" t="str"/>
      <x:c r="H111" s="84" t="str">
        <x:f>IF(C111="","",C111-WEEKDAY(C111,2)+1)</x:f>
      </x:c>
      <x:c r="I111" s="81" t="n">
        <x:f>IF(D111="Small task",1,IF(D111="Medium task",2,IF(D111="Large task",3,0)))</x:f>
        <x:v>0</x:v>
      </x:c>
      <x:c r="J111" s="81" t="n">
        <x:f>IF(AND(A111&lt;&gt;"",G111&lt;&gt;"Done"),1,0)</x:f>
        <x:v>0</x:v>
      </x:c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81" t="str"/>
      <x:c r="B112" s="81" t="str"/>
      <x:c r="C112" s="84"/>
      <x:c r="D112" s="81" t="str"/>
      <x:c r="E112" s="81"/>
      <x:c r="F112" s="81" t="str"/>
      <x:c r="G112" s="81" t="str"/>
      <x:c r="H112" s="84" t="str">
        <x:f>IF(C112="","",C112-WEEKDAY(C112,2)+1)</x:f>
      </x:c>
      <x:c r="I112" s="81" t="n">
        <x:f>IF(D112="Small task",1,IF(D112="Medium task",2,IF(D112="Large task",3,0)))</x:f>
        <x:v>0</x:v>
      </x:c>
      <x:c r="J112" s="81" t="n">
        <x:f>IF(AND(A112&lt;&gt;"",G112&lt;&gt;"Done"),1,0)</x:f>
        <x:v>0</x:v>
      </x:c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81" t="str"/>
      <x:c r="B113" s="81" t="str"/>
      <x:c r="C113" s="84"/>
      <x:c r="D113" s="81" t="str"/>
      <x:c r="E113" s="81"/>
      <x:c r="F113" s="81" t="str"/>
      <x:c r="G113" s="81" t="str"/>
      <x:c r="H113" s="84" t="str">
        <x:f>IF(C113="","",C113-WEEKDAY(C113,2)+1)</x:f>
      </x:c>
      <x:c r="I113" s="81" t="n">
        <x:f>IF(D113="Small task",1,IF(D113="Medium task",2,IF(D113="Large task",3,0)))</x:f>
        <x:v>0</x:v>
      </x:c>
      <x:c r="J113" s="81" t="n">
        <x:f>IF(AND(A113&lt;&gt;"",G113&lt;&gt;"Done"),1,0)</x:f>
        <x:v>0</x:v>
      </x:c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81" t="str"/>
      <x:c r="B114" s="81" t="str"/>
      <x:c r="C114" s="84"/>
      <x:c r="D114" s="81" t="str"/>
      <x:c r="E114" s="81"/>
      <x:c r="F114" s="81" t="str"/>
      <x:c r="G114" s="81" t="str"/>
      <x:c r="H114" s="84" t="str">
        <x:f>IF(C114="","",C114-WEEKDAY(C114,2)+1)</x:f>
      </x:c>
      <x:c r="I114" s="81" t="n">
        <x:f>IF(D114="Small task",1,IF(D114="Medium task",2,IF(D114="Large task",3,0)))</x:f>
        <x:v>0</x:v>
      </x:c>
      <x:c r="J114" s="81" t="n">
        <x:f>IF(AND(A114&lt;&gt;"",G114&lt;&gt;"Done"),1,0)</x:f>
        <x:v>0</x:v>
      </x:c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81" t="str"/>
      <x:c r="B115" s="81" t="str"/>
      <x:c r="C115" s="84"/>
      <x:c r="D115" s="81" t="str"/>
      <x:c r="E115" s="81"/>
      <x:c r="F115" s="81" t="str"/>
      <x:c r="G115" s="81" t="str"/>
      <x:c r="H115" s="84" t="str">
        <x:f>IF(C115="","",C115-WEEKDAY(C115,2)+1)</x:f>
      </x:c>
      <x:c r="I115" s="81" t="n">
        <x:f>IF(D115="Small task",1,IF(D115="Medium task",2,IF(D115="Large task",3,0)))</x:f>
        <x:v>0</x:v>
      </x:c>
      <x:c r="J115" s="81" t="n">
        <x:f>IF(AND(A115&lt;&gt;"",G115&lt;&gt;"Done"),1,0)</x:f>
        <x:v>0</x:v>
      </x:c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81" t="str"/>
      <x:c r="B116" s="81" t="str"/>
      <x:c r="C116" s="84"/>
      <x:c r="D116" s="81" t="str"/>
      <x:c r="E116" s="81"/>
      <x:c r="F116" s="81" t="str"/>
      <x:c r="G116" s="81" t="str"/>
      <x:c r="H116" s="84" t="str">
        <x:f>IF(C116="","",C116-WEEKDAY(C116,2)+1)</x:f>
      </x:c>
      <x:c r="I116" s="81" t="n">
        <x:f>IF(D116="Small task",1,IF(D116="Medium task",2,IF(D116="Large task",3,0)))</x:f>
        <x:v>0</x:v>
      </x:c>
      <x:c r="J116" s="81" t="n">
        <x:f>IF(AND(A116&lt;&gt;"",G116&lt;&gt;"Done"),1,0)</x:f>
        <x:v>0</x:v>
      </x:c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81" t="str"/>
      <x:c r="B117" s="81" t="str"/>
      <x:c r="C117" s="84"/>
      <x:c r="D117" s="81" t="str"/>
      <x:c r="E117" s="81"/>
      <x:c r="F117" s="81" t="str"/>
      <x:c r="G117" s="81" t="str"/>
      <x:c r="H117" s="84" t="str">
        <x:f>IF(C117="","",C117-WEEKDAY(C117,2)+1)</x:f>
      </x:c>
      <x:c r="I117" s="81" t="n">
        <x:f>IF(D117="Small task",1,IF(D117="Medium task",2,IF(D117="Large task",3,0)))</x:f>
        <x:v>0</x:v>
      </x:c>
      <x:c r="J117" s="81" t="n">
        <x:f>IF(AND(A117&lt;&gt;"",G117&lt;&gt;"Done"),1,0)</x:f>
        <x:v>0</x:v>
      </x:c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81" t="str"/>
      <x:c r="B118" s="81" t="str"/>
      <x:c r="C118" s="84"/>
      <x:c r="D118" s="81" t="str"/>
      <x:c r="E118" s="81"/>
      <x:c r="F118" s="81" t="str"/>
      <x:c r="G118" s="81" t="str"/>
      <x:c r="H118" s="84" t="str">
        <x:f>IF(C118="","",C118-WEEKDAY(C118,2)+1)</x:f>
      </x:c>
      <x:c r="I118" s="81" t="n">
        <x:f>IF(D118="Small task",1,IF(D118="Medium task",2,IF(D118="Large task",3,0)))</x:f>
        <x:v>0</x:v>
      </x:c>
      <x:c r="J118" s="81" t="n">
        <x:f>IF(AND(A118&lt;&gt;"",G118&lt;&gt;"Done"),1,0)</x:f>
        <x:v>0</x:v>
      </x:c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81" t="str"/>
      <x:c r="B119" s="81" t="str"/>
      <x:c r="C119" s="84"/>
      <x:c r="D119" s="81" t="str"/>
      <x:c r="E119" s="81"/>
      <x:c r="F119" s="81" t="str"/>
      <x:c r="G119" s="81" t="str"/>
      <x:c r="H119" s="84" t="str">
        <x:f>IF(C119="","",C119-WEEKDAY(C119,2)+1)</x:f>
      </x:c>
      <x:c r="I119" s="81" t="n">
        <x:f>IF(D119="Small task",1,IF(D119="Medium task",2,IF(D119="Large task",3,0)))</x:f>
        <x:v>0</x:v>
      </x:c>
      <x:c r="J119" s="81" t="n">
        <x:f>IF(AND(A119&lt;&gt;"",G119&lt;&gt;"Done"),1,0)</x:f>
        <x:v>0</x:v>
      </x:c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81" t="str"/>
      <x:c r="B120" s="81" t="str"/>
      <x:c r="C120" s="84"/>
      <x:c r="D120" s="81" t="str"/>
      <x:c r="E120" s="81"/>
      <x:c r="F120" s="81" t="str"/>
      <x:c r="G120" s="81" t="str"/>
      <x:c r="H120" s="84" t="str">
        <x:f>IF(C120="","",C120-WEEKDAY(C120,2)+1)</x:f>
      </x:c>
      <x:c r="I120" s="81" t="n">
        <x:f>IF(D120="Small task",1,IF(D120="Medium task",2,IF(D120="Large task",3,0)))</x:f>
        <x:v>0</x:v>
      </x:c>
      <x:c r="J120" s="81" t="n">
        <x:f>IF(AND(A120&lt;&gt;"",G120&lt;&gt;"Done"),1,0)</x:f>
        <x:v>0</x:v>
      </x:c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81" t="str"/>
      <x:c r="B121" s="81" t="str"/>
      <x:c r="C121" s="84"/>
      <x:c r="D121" s="81" t="str"/>
      <x:c r="E121" s="81"/>
      <x:c r="F121" s="81" t="str"/>
      <x:c r="G121" s="81" t="str"/>
      <x:c r="H121" s="84" t="str">
        <x:f>IF(C121="","",C121-WEEKDAY(C121,2)+1)</x:f>
      </x:c>
      <x:c r="I121" s="81" t="n">
        <x:f>IF(D121="Small task",1,IF(D121="Medium task",2,IF(D121="Large task",3,0)))</x:f>
        <x:v>0</x:v>
      </x:c>
      <x:c r="J121" s="81" t="n">
        <x:f>IF(AND(A121&lt;&gt;"",G121&lt;&gt;"Done"),1,0)</x:f>
        <x:v>0</x:v>
      </x:c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81" t="str"/>
      <x:c r="B122" s="81" t="str"/>
      <x:c r="C122" s="84"/>
      <x:c r="D122" s="81" t="str"/>
      <x:c r="E122" s="81"/>
      <x:c r="F122" s="81" t="str"/>
      <x:c r="G122" s="81" t="str"/>
      <x:c r="H122" s="84" t="str">
        <x:f>IF(C122="","",C122-WEEKDAY(C122,2)+1)</x:f>
      </x:c>
      <x:c r="I122" s="81" t="n">
        <x:f>IF(D122="Small task",1,IF(D122="Medium task",2,IF(D122="Large task",3,0)))</x:f>
        <x:v>0</x:v>
      </x:c>
      <x:c r="J122" s="81" t="n">
        <x:f>IF(AND(A122&lt;&gt;"",G122&lt;&gt;"Done"),1,0)</x:f>
        <x:v>0</x:v>
      </x:c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81" t="str"/>
      <x:c r="B123" s="81" t="str"/>
      <x:c r="C123" s="84"/>
      <x:c r="D123" s="81" t="str"/>
      <x:c r="E123" s="81"/>
      <x:c r="F123" s="81" t="str"/>
      <x:c r="G123" s="81" t="str"/>
      <x:c r="H123" s="84" t="str">
        <x:f>IF(C123="","",C123-WEEKDAY(C123,2)+1)</x:f>
      </x:c>
      <x:c r="I123" s="81" t="n">
        <x:f>IF(D123="Small task",1,IF(D123="Medium task",2,IF(D123="Large task",3,0)))</x:f>
        <x:v>0</x:v>
      </x:c>
      <x:c r="J123" s="81" t="n">
        <x:f>IF(AND(A123&lt;&gt;"",G123&lt;&gt;"Done"),1,0)</x:f>
        <x:v>0</x:v>
      </x:c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81" t="str"/>
      <x:c r="B124" s="81" t="str"/>
      <x:c r="C124" s="84"/>
      <x:c r="D124" s="81" t="str"/>
      <x:c r="E124" s="81"/>
      <x:c r="F124" s="81" t="str"/>
      <x:c r="G124" s="81" t="str"/>
      <x:c r="H124" s="84" t="str">
        <x:f>IF(C124="","",C124-WEEKDAY(C124,2)+1)</x:f>
      </x:c>
      <x:c r="I124" s="81" t="n">
        <x:f>IF(D124="Small task",1,IF(D124="Medium task",2,IF(D124="Large task",3,0)))</x:f>
        <x:v>0</x:v>
      </x:c>
      <x:c r="J124" s="81" t="n">
        <x:f>IF(AND(A124&lt;&gt;"",G124&lt;&gt;"Done"),1,0)</x:f>
        <x:v>0</x:v>
      </x:c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81" t="str"/>
      <x:c r="B125" s="81" t="str"/>
      <x:c r="C125" s="84"/>
      <x:c r="D125" s="81" t="str"/>
      <x:c r="E125" s="81"/>
      <x:c r="F125" s="81" t="str"/>
      <x:c r="G125" s="81" t="str"/>
      <x:c r="H125" s="84" t="str">
        <x:f>IF(C125="","",C125-WEEKDAY(C125,2)+1)</x:f>
      </x:c>
      <x:c r="I125" s="81" t="n">
        <x:f>IF(D125="Small task",1,IF(D125="Medium task",2,IF(D125="Large task",3,0)))</x:f>
        <x:v>0</x:v>
      </x:c>
      <x:c r="J125" s="81" t="n">
        <x:f>IF(AND(A125&lt;&gt;"",G125&lt;&gt;"Done"),1,0)</x:f>
        <x:v>0</x:v>
      </x:c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81" t="str"/>
      <x:c r="B126" s="81" t="str"/>
      <x:c r="C126" s="84"/>
      <x:c r="D126" s="81" t="str"/>
      <x:c r="E126" s="81"/>
      <x:c r="F126" s="81" t="str"/>
      <x:c r="G126" s="81" t="str"/>
      <x:c r="H126" s="84" t="str">
        <x:f>IF(C126="","",C126-WEEKDAY(C126,2)+1)</x:f>
      </x:c>
      <x:c r="I126" s="81" t="n">
        <x:f>IF(D126="Small task",1,IF(D126="Medium task",2,IF(D126="Large task",3,0)))</x:f>
        <x:v>0</x:v>
      </x:c>
      <x:c r="J126" s="81" t="n">
        <x:f>IF(AND(A126&lt;&gt;"",G126&lt;&gt;"Done"),1,0)</x:f>
        <x:v>0</x:v>
      </x:c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81" t="str"/>
      <x:c r="B127" s="81" t="str"/>
      <x:c r="C127" s="84"/>
      <x:c r="D127" s="81" t="str"/>
      <x:c r="E127" s="81"/>
      <x:c r="F127" s="81" t="str"/>
      <x:c r="G127" s="81" t="str"/>
      <x:c r="H127" s="84" t="str">
        <x:f>IF(C127="","",C127-WEEKDAY(C127,2)+1)</x:f>
      </x:c>
      <x:c r="I127" s="81" t="n">
        <x:f>IF(D127="Small task",1,IF(D127="Medium task",2,IF(D127="Large task",3,0)))</x:f>
        <x:v>0</x:v>
      </x:c>
      <x:c r="J127" s="81" t="n">
        <x:f>IF(AND(A127&lt;&gt;"",G127&lt;&gt;"Done"),1,0)</x:f>
        <x:v>0</x:v>
      </x:c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81" t="str"/>
      <x:c r="B128" s="81" t="str"/>
      <x:c r="C128" s="84"/>
      <x:c r="D128" s="81" t="str"/>
      <x:c r="E128" s="81"/>
      <x:c r="F128" s="81" t="str"/>
      <x:c r="G128" s="81" t="str"/>
      <x:c r="H128" s="84" t="str">
        <x:f>IF(C128="","",C128-WEEKDAY(C128,2)+1)</x:f>
      </x:c>
      <x:c r="I128" s="81" t="n">
        <x:f>IF(D128="Small task",1,IF(D128="Medium task",2,IF(D128="Large task",3,0)))</x:f>
        <x:v>0</x:v>
      </x:c>
      <x:c r="J128" s="81" t="n">
        <x:f>IF(AND(A128&lt;&gt;"",G128&lt;&gt;"Done"),1,0)</x:f>
        <x:v>0</x:v>
      </x:c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81" t="str"/>
      <x:c r="B129" s="81" t="str"/>
      <x:c r="C129" s="84"/>
      <x:c r="D129" s="81" t="str"/>
      <x:c r="E129" s="81"/>
      <x:c r="F129" s="81" t="str"/>
      <x:c r="G129" s="81" t="str"/>
      <x:c r="H129" s="84" t="str">
        <x:f>IF(C129="","",C129-WEEKDAY(C129,2)+1)</x:f>
      </x:c>
      <x:c r="I129" s="81" t="n">
        <x:f>IF(D129="Small task",1,IF(D129="Medium task",2,IF(D129="Large task",3,0)))</x:f>
        <x:v>0</x:v>
      </x:c>
      <x:c r="J129" s="81" t="n">
        <x:f>IF(AND(A129&lt;&gt;"",G129&lt;&gt;"Done"),1,0)</x:f>
        <x:v>0</x:v>
      </x:c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81" t="str"/>
      <x:c r="B130" s="81" t="str"/>
      <x:c r="C130" s="84"/>
      <x:c r="D130" s="81" t="str"/>
      <x:c r="E130" s="81"/>
      <x:c r="F130" s="81" t="str"/>
      <x:c r="G130" s="81" t="str"/>
      <x:c r="H130" s="84" t="str">
        <x:f>IF(C130="","",C130-WEEKDAY(C130,2)+1)</x:f>
      </x:c>
      <x:c r="I130" s="81" t="n">
        <x:f>IF(D130="Small task",1,IF(D130="Medium task",2,IF(D130="Large task",3,0)))</x:f>
        <x:v>0</x:v>
      </x:c>
      <x:c r="J130" s="81" t="n">
        <x:f>IF(AND(A130&lt;&gt;"",G130&lt;&gt;"Done"),1,0)</x:f>
        <x:v>0</x:v>
      </x:c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81" t="str"/>
      <x:c r="B131" s="81" t="str"/>
      <x:c r="C131" s="84"/>
      <x:c r="D131" s="81" t="str"/>
      <x:c r="E131" s="81"/>
      <x:c r="F131" s="81" t="str"/>
      <x:c r="G131" s="81" t="str"/>
      <x:c r="H131" s="84" t="str">
        <x:f>IF(C131="","",C131-WEEKDAY(C131,2)+1)</x:f>
      </x:c>
      <x:c r="I131" s="81" t="n">
        <x:f>IF(D131="Small task",1,IF(D131="Medium task",2,IF(D131="Large task",3,0)))</x:f>
        <x:v>0</x:v>
      </x:c>
      <x:c r="J131" s="81" t="n">
        <x:f>IF(AND(A131&lt;&gt;"",G131&lt;&gt;"Done"),1,0)</x:f>
        <x:v>0</x:v>
      </x:c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81" t="str"/>
      <x:c r="B132" s="81" t="str"/>
      <x:c r="C132" s="84"/>
      <x:c r="D132" s="81" t="str"/>
      <x:c r="E132" s="81"/>
      <x:c r="F132" s="81" t="str"/>
      <x:c r="G132" s="81" t="str"/>
      <x:c r="H132" s="84" t="str">
        <x:f>IF(C132="","",C132-WEEKDAY(C132,2)+1)</x:f>
      </x:c>
      <x:c r="I132" s="81" t="n">
        <x:f>IF(D132="Small task",1,IF(D132="Medium task",2,IF(D132="Large task",3,0)))</x:f>
        <x:v>0</x:v>
      </x:c>
      <x:c r="J132" s="81" t="n">
        <x:f>IF(AND(A132&lt;&gt;"",G132&lt;&gt;"Done"),1,0)</x:f>
        <x:v>0</x:v>
      </x:c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81" t="str"/>
      <x:c r="B133" s="81" t="str"/>
      <x:c r="C133" s="84"/>
      <x:c r="D133" s="81" t="str"/>
      <x:c r="E133" s="81"/>
      <x:c r="F133" s="81" t="str"/>
      <x:c r="G133" s="81" t="str"/>
      <x:c r="H133" s="84" t="str">
        <x:f>IF(C133="","",C133-WEEKDAY(C133,2)+1)</x:f>
      </x:c>
      <x:c r="I133" s="81" t="n">
        <x:f>IF(D133="Small task",1,IF(D133="Medium task",2,IF(D133="Large task",3,0)))</x:f>
        <x:v>0</x:v>
      </x:c>
      <x:c r="J133" s="81" t="n">
        <x:f>IF(AND(A133&lt;&gt;"",G133&lt;&gt;"Done"),1,0)</x:f>
        <x:v>0</x:v>
      </x:c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81" t="str"/>
      <x:c r="B134" s="81" t="str"/>
      <x:c r="C134" s="84"/>
      <x:c r="D134" s="81" t="str"/>
      <x:c r="E134" s="81"/>
      <x:c r="F134" s="81" t="str"/>
      <x:c r="G134" s="81" t="str"/>
      <x:c r="H134" s="84" t="str">
        <x:f>IF(C134="","",C134-WEEKDAY(C134,2)+1)</x:f>
      </x:c>
      <x:c r="I134" s="81" t="n">
        <x:f>IF(D134="Small task",1,IF(D134="Medium task",2,IF(D134="Large task",3,0)))</x:f>
        <x:v>0</x:v>
      </x:c>
      <x:c r="J134" s="81" t="n">
        <x:f>IF(AND(A134&lt;&gt;"",G134&lt;&gt;"Done"),1,0)</x:f>
        <x:v>0</x:v>
      </x:c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81" t="str"/>
      <x:c r="B135" s="81" t="str"/>
      <x:c r="C135" s="84"/>
      <x:c r="D135" s="81" t="str"/>
      <x:c r="E135" s="81"/>
      <x:c r="F135" s="81" t="str"/>
      <x:c r="G135" s="81" t="str"/>
      <x:c r="H135" s="84" t="str">
        <x:f>IF(C135="","",C135-WEEKDAY(C135,2)+1)</x:f>
      </x:c>
      <x:c r="I135" s="81" t="n">
        <x:f>IF(D135="Small task",1,IF(D135="Medium task",2,IF(D135="Large task",3,0)))</x:f>
        <x:v>0</x:v>
      </x:c>
      <x:c r="J135" s="81" t="n">
        <x:f>IF(AND(A135&lt;&gt;"",G135&lt;&gt;"Done"),1,0)</x:f>
        <x:v>0</x:v>
      </x:c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81" t="str"/>
      <x:c r="B136" s="81" t="str"/>
      <x:c r="C136" s="84"/>
      <x:c r="D136" s="81" t="str"/>
      <x:c r="E136" s="81"/>
      <x:c r="F136" s="81" t="str"/>
      <x:c r="G136" s="81" t="str"/>
      <x:c r="H136" s="84" t="str">
        <x:f>IF(C136="","",C136-WEEKDAY(C136,2)+1)</x:f>
      </x:c>
      <x:c r="I136" s="81" t="n">
        <x:f>IF(D136="Small task",1,IF(D136="Medium task",2,IF(D136="Large task",3,0)))</x:f>
        <x:v>0</x:v>
      </x:c>
      <x:c r="J136" s="81" t="n">
        <x:f>IF(AND(A136&lt;&gt;"",G136&lt;&gt;"Done"),1,0)</x:f>
        <x:v>0</x:v>
      </x:c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81" t="str"/>
      <x:c r="B137" s="81" t="str"/>
      <x:c r="C137" s="84"/>
      <x:c r="D137" s="81" t="str"/>
      <x:c r="E137" s="81"/>
      <x:c r="F137" s="81" t="str"/>
      <x:c r="G137" s="81" t="str"/>
      <x:c r="H137" s="84" t="str">
        <x:f>IF(C137="","",C137-WEEKDAY(C137,2)+1)</x:f>
      </x:c>
      <x:c r="I137" s="81" t="n">
        <x:f>IF(D137="Small task",1,IF(D137="Medium task",2,IF(D137="Large task",3,0)))</x:f>
        <x:v>0</x:v>
      </x:c>
      <x:c r="J137" s="81" t="n">
        <x:f>IF(AND(A137&lt;&gt;"",G137&lt;&gt;"Done"),1,0)</x:f>
        <x:v>0</x:v>
      </x:c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81" t="str"/>
      <x:c r="B138" s="81" t="str"/>
      <x:c r="C138" s="84"/>
      <x:c r="D138" s="81" t="str"/>
      <x:c r="E138" s="81"/>
      <x:c r="F138" s="81" t="str"/>
      <x:c r="G138" s="81" t="str"/>
      <x:c r="H138" s="84" t="str">
        <x:f>IF(C138="","",C138-WEEKDAY(C138,2)+1)</x:f>
      </x:c>
      <x:c r="I138" s="81" t="n">
        <x:f>IF(D138="Small task",1,IF(D138="Medium task",2,IF(D138="Large task",3,0)))</x:f>
        <x:v>0</x:v>
      </x:c>
      <x:c r="J138" s="81" t="n">
        <x:f>IF(AND(A138&lt;&gt;"",G138&lt;&gt;"Done"),1,0)</x:f>
        <x:v>0</x:v>
      </x:c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81" t="str"/>
      <x:c r="B139" s="81" t="str"/>
      <x:c r="C139" s="84"/>
      <x:c r="D139" s="81" t="str"/>
      <x:c r="E139" s="81"/>
      <x:c r="F139" s="81" t="str"/>
      <x:c r="G139" s="81" t="str"/>
      <x:c r="H139" s="84" t="str">
        <x:f>IF(C139="","",C139-WEEKDAY(C139,2)+1)</x:f>
      </x:c>
      <x:c r="I139" s="81" t="n">
        <x:f>IF(D139="Small task",1,IF(D139="Medium task",2,IF(D139="Large task",3,0)))</x:f>
        <x:v>0</x:v>
      </x:c>
      <x:c r="J139" s="81" t="n">
        <x:f>IF(AND(A139&lt;&gt;"",G139&lt;&gt;"Done"),1,0)</x:f>
        <x:v>0</x:v>
      </x:c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81" t="str"/>
      <x:c r="B140" s="81" t="str"/>
      <x:c r="C140" s="84"/>
      <x:c r="D140" s="81" t="str"/>
      <x:c r="E140" s="81"/>
      <x:c r="F140" s="81" t="str"/>
      <x:c r="G140" s="81" t="str"/>
      <x:c r="H140" s="84" t="str">
        <x:f>IF(C140="","",C140-WEEKDAY(C140,2)+1)</x:f>
      </x:c>
      <x:c r="I140" s="81" t="n">
        <x:f>IF(D140="Small task",1,IF(D140="Medium task",2,IF(D140="Large task",3,0)))</x:f>
        <x:v>0</x:v>
      </x:c>
      <x:c r="J140" s="81" t="n">
        <x:f>IF(AND(A140&lt;&gt;"",G140&lt;&gt;"Done"),1,0)</x:f>
        <x:v>0</x:v>
      </x:c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81" t="str"/>
      <x:c r="B141" s="81" t="str"/>
      <x:c r="C141" s="84"/>
      <x:c r="D141" s="81" t="str"/>
      <x:c r="E141" s="81"/>
      <x:c r="F141" s="81" t="str"/>
      <x:c r="G141" s="81" t="str"/>
      <x:c r="H141" s="84" t="str">
        <x:f>IF(C141="","",C141-WEEKDAY(C141,2)+1)</x:f>
      </x:c>
      <x:c r="I141" s="81" t="n">
        <x:f>IF(D141="Small task",1,IF(D141="Medium task",2,IF(D141="Large task",3,0)))</x:f>
        <x:v>0</x:v>
      </x:c>
      <x:c r="J141" s="81" t="n">
        <x:f>IF(AND(A141&lt;&gt;"",G141&lt;&gt;"Done"),1,0)</x:f>
        <x:v>0</x:v>
      </x:c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81" t="str"/>
      <x:c r="B142" s="81" t="str"/>
      <x:c r="C142" s="84"/>
      <x:c r="D142" s="81" t="str"/>
      <x:c r="E142" s="81"/>
      <x:c r="F142" s="81" t="str"/>
      <x:c r="G142" s="81" t="str"/>
      <x:c r="H142" s="84" t="str">
        <x:f>IF(C142="","",C142-WEEKDAY(C142,2)+1)</x:f>
      </x:c>
      <x:c r="I142" s="81" t="n">
        <x:f>IF(D142="Small task",1,IF(D142="Medium task",2,IF(D142="Large task",3,0)))</x:f>
        <x:v>0</x:v>
      </x:c>
      <x:c r="J142" s="81" t="n">
        <x:f>IF(AND(A142&lt;&gt;"",G142&lt;&gt;"Done"),1,0)</x:f>
        <x:v>0</x:v>
      </x:c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81" t="str"/>
      <x:c r="B143" s="81" t="str"/>
      <x:c r="C143" s="84"/>
      <x:c r="D143" s="81" t="str"/>
      <x:c r="E143" s="81"/>
      <x:c r="F143" s="81" t="str"/>
      <x:c r="G143" s="81" t="str"/>
      <x:c r="H143" s="84" t="str">
        <x:f>IF(C143="","",C143-WEEKDAY(C143,2)+1)</x:f>
      </x:c>
      <x:c r="I143" s="81" t="n">
        <x:f>IF(D143="Small task",1,IF(D143="Medium task",2,IF(D143="Large task",3,0)))</x:f>
        <x:v>0</x:v>
      </x:c>
      <x:c r="J143" s="81" t="n">
        <x:f>IF(AND(A143&lt;&gt;"",G143&lt;&gt;"Done"),1,0)</x:f>
        <x:v>0</x:v>
      </x:c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81" t="str"/>
      <x:c r="B144" s="81" t="str"/>
      <x:c r="C144" s="84"/>
      <x:c r="D144" s="81" t="str"/>
      <x:c r="E144" s="81"/>
      <x:c r="F144" s="81" t="str"/>
      <x:c r="G144" s="81" t="str"/>
      <x:c r="H144" s="84" t="str">
        <x:f>IF(C144="","",C144-WEEKDAY(C144,2)+1)</x:f>
      </x:c>
      <x:c r="I144" s="81" t="n">
        <x:f>IF(D144="Small task",1,IF(D144="Medium task",2,IF(D144="Large task",3,0)))</x:f>
        <x:v>0</x:v>
      </x:c>
      <x:c r="J144" s="81" t="n">
        <x:f>IF(AND(A144&lt;&gt;"",G144&lt;&gt;"Done"),1,0)</x:f>
        <x:v>0</x:v>
      </x:c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81" t="str"/>
      <x:c r="B145" s="81" t="str"/>
      <x:c r="C145" s="84"/>
      <x:c r="D145" s="81" t="str"/>
      <x:c r="E145" s="81"/>
      <x:c r="F145" s="81" t="str"/>
      <x:c r="G145" s="81" t="str"/>
      <x:c r="H145" s="84" t="str">
        <x:f>IF(C145="","",C145-WEEKDAY(C145,2)+1)</x:f>
      </x:c>
      <x:c r="I145" s="81" t="n">
        <x:f>IF(D145="Small task",1,IF(D145="Medium task",2,IF(D145="Large task",3,0)))</x:f>
        <x:v>0</x:v>
      </x:c>
      <x:c r="J145" s="81" t="n">
        <x:f>IF(AND(A145&lt;&gt;"",G145&lt;&gt;"Done"),1,0)</x:f>
        <x:v>0</x:v>
      </x:c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81" t="str"/>
      <x:c r="B146" s="81" t="str"/>
      <x:c r="C146" s="84"/>
      <x:c r="D146" s="81" t="str"/>
      <x:c r="E146" s="81"/>
      <x:c r="F146" s="81" t="str"/>
      <x:c r="G146" s="81" t="str"/>
      <x:c r="H146" s="84" t="str">
        <x:f>IF(C146="","",C146-WEEKDAY(C146,2)+1)</x:f>
      </x:c>
      <x:c r="I146" s="81" t="n">
        <x:f>IF(D146="Small task",1,IF(D146="Medium task",2,IF(D146="Large task",3,0)))</x:f>
        <x:v>0</x:v>
      </x:c>
      <x:c r="J146" s="81" t="n">
        <x:f>IF(AND(A146&lt;&gt;"",G146&lt;&gt;"Done"),1,0)</x:f>
        <x:v>0</x:v>
      </x:c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81" t="str"/>
      <x:c r="B147" s="81" t="str"/>
      <x:c r="C147" s="84"/>
      <x:c r="D147" s="81" t="str"/>
      <x:c r="E147" s="81"/>
      <x:c r="F147" s="81" t="str"/>
      <x:c r="G147" s="81" t="str"/>
      <x:c r="H147" s="84" t="str">
        <x:f>IF(C147="","",C147-WEEKDAY(C147,2)+1)</x:f>
      </x:c>
      <x:c r="I147" s="81" t="n">
        <x:f>IF(D147="Small task",1,IF(D147="Medium task",2,IF(D147="Large task",3,0)))</x:f>
        <x:v>0</x:v>
      </x:c>
      <x:c r="J147" s="81" t="n">
        <x:f>IF(AND(A147&lt;&gt;"",G147&lt;&gt;"Done"),1,0)</x:f>
        <x:v>0</x:v>
      </x:c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81" t="str"/>
      <x:c r="B148" s="81" t="str"/>
      <x:c r="C148" s="84"/>
      <x:c r="D148" s="81" t="str"/>
      <x:c r="E148" s="81"/>
      <x:c r="F148" s="81" t="str"/>
      <x:c r="G148" s="81" t="str"/>
      <x:c r="H148" s="84" t="str">
        <x:f>IF(C148="","",C148-WEEKDAY(C148,2)+1)</x:f>
      </x:c>
      <x:c r="I148" s="81" t="n">
        <x:f>IF(D148="Small task",1,IF(D148="Medium task",2,IF(D148="Large task",3,0)))</x:f>
        <x:v>0</x:v>
      </x:c>
      <x:c r="J148" s="81" t="n">
        <x:f>IF(AND(A148&lt;&gt;"",G148&lt;&gt;"Done"),1,0)</x:f>
        <x:v>0</x:v>
      </x:c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81" t="str"/>
      <x:c r="B149" s="81" t="str"/>
      <x:c r="C149" s="84"/>
      <x:c r="D149" s="81" t="str"/>
      <x:c r="E149" s="81"/>
      <x:c r="F149" s="81" t="str"/>
      <x:c r="G149" s="81" t="str"/>
      <x:c r="H149" s="84" t="str">
        <x:f>IF(C149="","",C149-WEEKDAY(C149,2)+1)</x:f>
      </x:c>
      <x:c r="I149" s="81" t="n">
        <x:f>IF(D149="Small task",1,IF(D149="Medium task",2,IF(D149="Large task",3,0)))</x:f>
        <x:v>0</x:v>
      </x:c>
      <x:c r="J149" s="81" t="n">
        <x:f>IF(AND(A149&lt;&gt;"",G149&lt;&gt;"Done"),1,0)</x:f>
        <x:v>0</x:v>
      </x:c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81" t="str"/>
      <x:c r="B150" s="81" t="str"/>
      <x:c r="C150" s="84"/>
      <x:c r="D150" s="81" t="str"/>
      <x:c r="E150" s="81"/>
      <x:c r="F150" s="81" t="str"/>
      <x:c r="G150" s="81" t="str"/>
      <x:c r="H150" s="84" t="str">
        <x:f>IF(C150="","",C150-WEEKDAY(C150,2)+1)</x:f>
      </x:c>
      <x:c r="I150" s="81" t="n">
        <x:f>IF(D150="Small task",1,IF(D150="Medium task",2,IF(D150="Large task",3,0)))</x:f>
        <x:v>0</x:v>
      </x:c>
      <x:c r="J150" s="81" t="n">
        <x:f>IF(AND(A150&lt;&gt;"",G150&lt;&gt;"Done"),1,0)</x:f>
        <x:v>0</x:v>
      </x:c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81" t="str"/>
      <x:c r="B151" s="81" t="str"/>
      <x:c r="C151" s="84"/>
      <x:c r="D151" s="81" t="str"/>
      <x:c r="E151" s="81"/>
      <x:c r="F151" s="81" t="str"/>
      <x:c r="G151" s="81" t="str"/>
      <x:c r="H151" s="84" t="str">
        <x:f>IF(C151="","",C151-WEEKDAY(C151,2)+1)</x:f>
      </x:c>
      <x:c r="I151" s="81" t="n">
        <x:f>IF(D151="Small task",1,IF(D151="Medium task",2,IF(D151="Large task",3,0)))</x:f>
        <x:v>0</x:v>
      </x:c>
      <x:c r="J151" s="81" t="n">
        <x:f>IF(AND(A151&lt;&gt;"",G151&lt;&gt;"Done"),1,0)</x:f>
        <x:v>0</x:v>
      </x:c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81" t="str"/>
      <x:c r="B152" s="81" t="str"/>
      <x:c r="C152" s="84"/>
      <x:c r="D152" s="81" t="str"/>
      <x:c r="E152" s="81"/>
      <x:c r="F152" s="81" t="str"/>
      <x:c r="G152" s="81" t="str"/>
      <x:c r="H152" s="84" t="str">
        <x:f>IF(C152="","",C152-WEEKDAY(C152,2)+1)</x:f>
      </x:c>
      <x:c r="I152" s="81" t="n">
        <x:f>IF(D152="Small task",1,IF(D152="Medium task",2,IF(D152="Large task",3,0)))</x:f>
        <x:v>0</x:v>
      </x:c>
      <x:c r="J152" s="81" t="n">
        <x:f>IF(AND(A152&lt;&gt;"",G152&lt;&gt;"Done"),1,0)</x:f>
        <x:v>0</x:v>
      </x:c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81" t="str"/>
      <x:c r="B153" s="81" t="str"/>
      <x:c r="C153" s="84"/>
      <x:c r="D153" s="81" t="str"/>
      <x:c r="E153" s="81"/>
      <x:c r="F153" s="81" t="str"/>
      <x:c r="G153" s="81" t="str"/>
      <x:c r="H153" s="84" t="str">
        <x:f>IF(C153="","",C153-WEEKDAY(C153,2)+1)</x:f>
      </x:c>
      <x:c r="I153" s="81" t="n">
        <x:f>IF(D153="Small task",1,IF(D153="Medium task",2,IF(D153="Large task",3,0)))</x:f>
        <x:v>0</x:v>
      </x:c>
      <x:c r="J153" s="81" t="n">
        <x:f>IF(AND(A153&lt;&gt;"",G153&lt;&gt;"Done"),1,0)</x:f>
        <x:v>0</x:v>
      </x:c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81" t="str"/>
      <x:c r="B154" s="81" t="str"/>
      <x:c r="C154" s="84"/>
      <x:c r="D154" s="81" t="str"/>
      <x:c r="E154" s="81"/>
      <x:c r="F154" s="81" t="str"/>
      <x:c r="G154" s="81" t="str"/>
      <x:c r="H154" s="84" t="str">
        <x:f>IF(C154="","",C154-WEEKDAY(C154,2)+1)</x:f>
      </x:c>
      <x:c r="I154" s="81" t="n">
        <x:f>IF(D154="Small task",1,IF(D154="Medium task",2,IF(D154="Large task",3,0)))</x:f>
        <x:v>0</x:v>
      </x:c>
      <x:c r="J154" s="81" t="n">
        <x:f>IF(AND(A154&lt;&gt;"",G154&lt;&gt;"Done"),1,0)</x:f>
        <x:v>0</x:v>
      </x:c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81" t="str"/>
      <x:c r="B155" s="81" t="str"/>
      <x:c r="C155" s="84"/>
      <x:c r="D155" s="81" t="str"/>
      <x:c r="E155" s="81"/>
      <x:c r="F155" s="81" t="str"/>
      <x:c r="G155" s="81" t="str"/>
      <x:c r="H155" s="84" t="str">
        <x:f>IF(C155="","",C155-WEEKDAY(C155,2)+1)</x:f>
      </x:c>
      <x:c r="I155" s="81" t="n">
        <x:f>IF(D155="Small task",1,IF(D155="Medium task",2,IF(D155="Large task",3,0)))</x:f>
        <x:v>0</x:v>
      </x:c>
      <x:c r="J155" s="81" t="n">
        <x:f>IF(AND(A155&lt;&gt;"",G155&lt;&gt;"Done"),1,0)</x:f>
        <x:v>0</x:v>
      </x:c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81" t="str"/>
      <x:c r="B156" s="81" t="str"/>
      <x:c r="C156" s="84"/>
      <x:c r="D156" s="81" t="str"/>
      <x:c r="E156" s="81"/>
      <x:c r="F156" s="81" t="str"/>
      <x:c r="G156" s="81" t="str"/>
      <x:c r="H156" s="84" t="str">
        <x:f>IF(C156="","",C156-WEEKDAY(C156,2)+1)</x:f>
      </x:c>
      <x:c r="I156" s="81" t="n">
        <x:f>IF(D156="Small task",1,IF(D156="Medium task",2,IF(D156="Large task",3,0)))</x:f>
        <x:v>0</x:v>
      </x:c>
      <x:c r="J156" s="81" t="n">
        <x:f>IF(AND(A156&lt;&gt;"",G156&lt;&gt;"Done"),1,0)</x:f>
        <x:v>0</x:v>
      </x:c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81" t="str"/>
      <x:c r="B157" s="81" t="str"/>
      <x:c r="C157" s="84"/>
      <x:c r="D157" s="81" t="str"/>
      <x:c r="E157" s="81"/>
      <x:c r="F157" s="81" t="str"/>
      <x:c r="G157" s="81" t="str"/>
      <x:c r="H157" s="84" t="str">
        <x:f>IF(C157="","",C157-WEEKDAY(C157,2)+1)</x:f>
      </x:c>
      <x:c r="I157" s="81" t="n">
        <x:f>IF(D157="Small task",1,IF(D157="Medium task",2,IF(D157="Large task",3,0)))</x:f>
        <x:v>0</x:v>
      </x:c>
      <x:c r="J157" s="81" t="n">
        <x:f>IF(AND(A157&lt;&gt;"",G157&lt;&gt;"Done"),1,0)</x:f>
        <x:v>0</x:v>
      </x:c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81" t="str"/>
      <x:c r="B158" s="81" t="str"/>
      <x:c r="C158" s="84"/>
      <x:c r="D158" s="81" t="str"/>
      <x:c r="E158" s="81"/>
      <x:c r="F158" s="81" t="str"/>
      <x:c r="G158" s="81" t="str"/>
      <x:c r="H158" s="84" t="str">
        <x:f>IF(C158="","",C158-WEEKDAY(C158,2)+1)</x:f>
      </x:c>
      <x:c r="I158" s="81" t="n">
        <x:f>IF(D158="Small task",1,IF(D158="Medium task",2,IF(D158="Large task",3,0)))</x:f>
        <x:v>0</x:v>
      </x:c>
      <x:c r="J158" s="81" t="n">
        <x:f>IF(AND(A158&lt;&gt;"",G158&lt;&gt;"Done"),1,0)</x:f>
        <x:v>0</x:v>
      </x:c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81" t="str"/>
      <x:c r="B159" s="81" t="str"/>
      <x:c r="C159" s="84"/>
      <x:c r="D159" s="81" t="str"/>
      <x:c r="E159" s="81"/>
      <x:c r="F159" s="81" t="str"/>
      <x:c r="G159" s="81" t="str"/>
      <x:c r="H159" s="84" t="str">
        <x:f>IF(C159="","",C159-WEEKDAY(C159,2)+1)</x:f>
      </x:c>
      <x:c r="I159" s="81" t="n">
        <x:f>IF(D159="Small task",1,IF(D159="Medium task",2,IF(D159="Large task",3,0)))</x:f>
        <x:v>0</x:v>
      </x:c>
      <x:c r="J159" s="81" t="n">
        <x:f>IF(AND(A159&lt;&gt;"",G159&lt;&gt;"Done"),1,0)</x:f>
        <x:v>0</x:v>
      </x:c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81" t="str"/>
      <x:c r="B160" s="81" t="str"/>
      <x:c r="C160" s="84"/>
      <x:c r="D160" s="81" t="str"/>
      <x:c r="E160" s="81"/>
      <x:c r="F160" s="81" t="str"/>
      <x:c r="G160" s="81" t="str"/>
      <x:c r="H160" s="84" t="str">
        <x:f>IF(C160="","",C160-WEEKDAY(C160,2)+1)</x:f>
      </x:c>
      <x:c r="I160" s="81" t="n">
        <x:f>IF(D160="Small task",1,IF(D160="Medium task",2,IF(D160="Large task",3,0)))</x:f>
        <x:v>0</x:v>
      </x:c>
      <x:c r="J160" s="81" t="n">
        <x:f>IF(AND(A160&lt;&gt;"",G160&lt;&gt;"Done"),1,0)</x:f>
        <x:v>0</x:v>
      </x:c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81" t="str"/>
      <x:c r="B161" s="81" t="str"/>
      <x:c r="C161" s="84"/>
      <x:c r="D161" s="81" t="str"/>
      <x:c r="E161" s="81"/>
      <x:c r="F161" s="81" t="str"/>
      <x:c r="G161" s="81" t="str"/>
      <x:c r="H161" s="84" t="str">
        <x:f>IF(C161="","",C161-WEEKDAY(C161,2)+1)</x:f>
      </x:c>
      <x:c r="I161" s="81" t="n">
        <x:f>IF(D161="Small task",1,IF(D161="Medium task",2,IF(D161="Large task",3,0)))</x:f>
        <x:v>0</x:v>
      </x:c>
      <x:c r="J161" s="81" t="n">
        <x:f>IF(AND(A161&lt;&gt;"",G161&lt;&gt;"Done"),1,0)</x:f>
        <x:v>0</x:v>
      </x:c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81" t="str"/>
      <x:c r="B162" s="81" t="str"/>
      <x:c r="C162" s="84"/>
      <x:c r="D162" s="81" t="str"/>
      <x:c r="E162" s="81"/>
      <x:c r="F162" s="81" t="str"/>
      <x:c r="G162" s="81" t="str"/>
      <x:c r="H162" s="84" t="str">
        <x:f>IF(C162="","",C162-WEEKDAY(C162,2)+1)</x:f>
      </x:c>
      <x:c r="I162" s="81" t="n">
        <x:f>IF(D162="Small task",1,IF(D162="Medium task",2,IF(D162="Large task",3,0)))</x:f>
        <x:v>0</x:v>
      </x:c>
      <x:c r="J162" s="81" t="n">
        <x:f>IF(AND(A162&lt;&gt;"",G162&lt;&gt;"Done"),1,0)</x:f>
        <x:v>0</x:v>
      </x:c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81" t="str"/>
      <x:c r="B163" s="81" t="str"/>
      <x:c r="C163" s="84"/>
      <x:c r="D163" s="81" t="str"/>
      <x:c r="E163" s="81"/>
      <x:c r="F163" s="81" t="str"/>
      <x:c r="G163" s="81" t="str"/>
      <x:c r="H163" s="84" t="str">
        <x:f>IF(C163="","",C163-WEEKDAY(C163,2)+1)</x:f>
      </x:c>
      <x:c r="I163" s="81" t="n">
        <x:f>IF(D163="Small task",1,IF(D163="Medium task",2,IF(D163="Large task",3,0)))</x:f>
        <x:v>0</x:v>
      </x:c>
      <x:c r="J163" s="81" t="n">
        <x:f>IF(AND(A163&lt;&gt;"",G163&lt;&gt;"Done"),1,0)</x:f>
        <x:v>0</x:v>
      </x:c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81" t="str"/>
      <x:c r="B164" s="81" t="str"/>
      <x:c r="C164" s="84"/>
      <x:c r="D164" s="81" t="str"/>
      <x:c r="E164" s="81"/>
      <x:c r="F164" s="81" t="str"/>
      <x:c r="G164" s="81" t="str"/>
      <x:c r="H164" s="84" t="str">
        <x:f>IF(C164="","",C164-WEEKDAY(C164,2)+1)</x:f>
      </x:c>
      <x:c r="I164" s="81" t="n">
        <x:f>IF(D164="Small task",1,IF(D164="Medium task",2,IF(D164="Large task",3,0)))</x:f>
        <x:v>0</x:v>
      </x:c>
      <x:c r="J164" s="81" t="n">
        <x:f>IF(AND(A164&lt;&gt;"",G164&lt;&gt;"Done"),1,0)</x:f>
        <x:v>0</x:v>
      </x:c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81" t="str"/>
      <x:c r="B165" s="81" t="str"/>
      <x:c r="C165" s="84"/>
      <x:c r="D165" s="81" t="str"/>
      <x:c r="E165" s="81"/>
      <x:c r="F165" s="81" t="str"/>
      <x:c r="G165" s="81" t="str"/>
      <x:c r="H165" s="84" t="str">
        <x:f>IF(C165="","",C165-WEEKDAY(C165,2)+1)</x:f>
      </x:c>
      <x:c r="I165" s="81" t="n">
        <x:f>IF(D165="Small task",1,IF(D165="Medium task",2,IF(D165="Large task",3,0)))</x:f>
        <x:v>0</x:v>
      </x:c>
      <x:c r="J165" s="81" t="n">
        <x:f>IF(AND(A165&lt;&gt;"",G165&lt;&gt;"Done"),1,0)</x:f>
        <x:v>0</x:v>
      </x:c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81" t="str"/>
      <x:c r="B166" s="81" t="str"/>
      <x:c r="C166" s="84"/>
      <x:c r="D166" s="81" t="str"/>
      <x:c r="E166" s="81"/>
      <x:c r="F166" s="81" t="str"/>
      <x:c r="G166" s="81" t="str"/>
      <x:c r="H166" s="84" t="str">
        <x:f>IF(C166="","",C166-WEEKDAY(C166,2)+1)</x:f>
      </x:c>
      <x:c r="I166" s="81" t="n">
        <x:f>IF(D166="Small task",1,IF(D166="Medium task",2,IF(D166="Large task",3,0)))</x:f>
        <x:v>0</x:v>
      </x:c>
      <x:c r="J166" s="81" t="n">
        <x:f>IF(AND(A166&lt;&gt;"",G166&lt;&gt;"Done"),1,0)</x:f>
        <x:v>0</x:v>
      </x:c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81" t="str"/>
      <x:c r="B167" s="81" t="str"/>
      <x:c r="C167" s="84"/>
      <x:c r="D167" s="81" t="str"/>
      <x:c r="E167" s="81"/>
      <x:c r="F167" s="81" t="str"/>
      <x:c r="G167" s="81" t="str"/>
      <x:c r="H167" s="84" t="str">
        <x:f>IF(C167="","",C167-WEEKDAY(C167,2)+1)</x:f>
      </x:c>
      <x:c r="I167" s="81" t="n">
        <x:f>IF(D167="Small task",1,IF(D167="Medium task",2,IF(D167="Large task",3,0)))</x:f>
        <x:v>0</x:v>
      </x:c>
      <x:c r="J167" s="81" t="n">
        <x:f>IF(AND(A167&lt;&gt;"",G167&lt;&gt;"Done"),1,0)</x:f>
        <x:v>0</x:v>
      </x:c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81" t="str"/>
      <x:c r="B168" s="81" t="str"/>
      <x:c r="C168" s="84"/>
      <x:c r="D168" s="81" t="str"/>
      <x:c r="E168" s="81"/>
      <x:c r="F168" s="81" t="str"/>
      <x:c r="G168" s="81" t="str"/>
      <x:c r="H168" s="84" t="str">
        <x:f>IF(C168="","",C168-WEEKDAY(C168,2)+1)</x:f>
      </x:c>
      <x:c r="I168" s="81" t="n">
        <x:f>IF(D168="Small task",1,IF(D168="Medium task",2,IF(D168="Large task",3,0)))</x:f>
        <x:v>0</x:v>
      </x:c>
      <x:c r="J168" s="81" t="n">
        <x:f>IF(AND(A168&lt;&gt;"",G168&lt;&gt;"Done"),1,0)</x:f>
        <x:v>0</x:v>
      </x:c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81" t="str"/>
      <x:c r="B169" s="81" t="str"/>
      <x:c r="C169" s="84"/>
      <x:c r="D169" s="81" t="str"/>
      <x:c r="E169" s="81"/>
      <x:c r="F169" s="81" t="str"/>
      <x:c r="G169" s="81" t="str"/>
      <x:c r="H169" s="84" t="str">
        <x:f>IF(C169="","",C169-WEEKDAY(C169,2)+1)</x:f>
      </x:c>
      <x:c r="I169" s="81" t="n">
        <x:f>IF(D169="Small task",1,IF(D169="Medium task",2,IF(D169="Large task",3,0)))</x:f>
        <x:v>0</x:v>
      </x:c>
      <x:c r="J169" s="81" t="n">
        <x:f>IF(AND(A169&lt;&gt;"",G169&lt;&gt;"Done"),1,0)</x:f>
        <x:v>0</x:v>
      </x:c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81" t="str"/>
      <x:c r="B170" s="81" t="str"/>
      <x:c r="C170" s="84"/>
      <x:c r="D170" s="81" t="str"/>
      <x:c r="E170" s="81"/>
      <x:c r="F170" s="81" t="str"/>
      <x:c r="G170" s="81" t="str"/>
      <x:c r="H170" s="84" t="str">
        <x:f>IF(C170="","",C170-WEEKDAY(C170,2)+1)</x:f>
      </x:c>
      <x:c r="I170" s="81" t="n">
        <x:f>IF(D170="Small task",1,IF(D170="Medium task",2,IF(D170="Large task",3,0)))</x:f>
        <x:v>0</x:v>
      </x:c>
      <x:c r="J170" s="81" t="n">
        <x:f>IF(AND(A170&lt;&gt;"",G170&lt;&gt;"Done"),1,0)</x:f>
        <x:v>0</x:v>
      </x:c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81" t="str"/>
      <x:c r="B171" s="81" t="str"/>
      <x:c r="C171" s="84"/>
      <x:c r="D171" s="81" t="str"/>
      <x:c r="E171" s="81"/>
      <x:c r="F171" s="81" t="str"/>
      <x:c r="G171" s="81" t="str"/>
      <x:c r="H171" s="84" t="str">
        <x:f>IF(C171="","",C171-WEEKDAY(C171,2)+1)</x:f>
      </x:c>
      <x:c r="I171" s="81" t="n">
        <x:f>IF(D171="Small task",1,IF(D171="Medium task",2,IF(D171="Large task",3,0)))</x:f>
        <x:v>0</x:v>
      </x:c>
      <x:c r="J171" s="81" t="n">
        <x:f>IF(AND(A171&lt;&gt;"",G171&lt;&gt;"Done"),1,0)</x:f>
        <x:v>0</x:v>
      </x:c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81" t="str"/>
      <x:c r="B172" s="81" t="str"/>
      <x:c r="C172" s="84"/>
      <x:c r="D172" s="81" t="str"/>
      <x:c r="E172" s="81"/>
      <x:c r="F172" s="81" t="str"/>
      <x:c r="G172" s="81" t="str"/>
      <x:c r="H172" s="84" t="str">
        <x:f>IF(C172="","",C172-WEEKDAY(C172,2)+1)</x:f>
      </x:c>
      <x:c r="I172" s="81" t="n">
        <x:f>IF(D172="Small task",1,IF(D172="Medium task",2,IF(D172="Large task",3,0)))</x:f>
        <x:v>0</x:v>
      </x:c>
      <x:c r="J172" s="81" t="n">
        <x:f>IF(AND(A172&lt;&gt;"",G172&lt;&gt;"Done"),1,0)</x:f>
        <x:v>0</x:v>
      </x:c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81" t="str"/>
      <x:c r="B173" s="81" t="str"/>
      <x:c r="C173" s="84"/>
      <x:c r="D173" s="81" t="str"/>
      <x:c r="E173" s="81"/>
      <x:c r="F173" s="81" t="str"/>
      <x:c r="G173" s="81" t="str"/>
      <x:c r="H173" s="84" t="str">
        <x:f>IF(C173="","",C173-WEEKDAY(C173,2)+1)</x:f>
      </x:c>
      <x:c r="I173" s="81" t="n">
        <x:f>IF(D173="Small task",1,IF(D173="Medium task",2,IF(D173="Large task",3,0)))</x:f>
        <x:v>0</x:v>
      </x:c>
      <x:c r="J173" s="81" t="n">
        <x:f>IF(AND(A173&lt;&gt;"",G173&lt;&gt;"Done"),1,0)</x:f>
        <x:v>0</x:v>
      </x:c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81" t="str"/>
      <x:c r="B174" s="81" t="str"/>
      <x:c r="C174" s="84"/>
      <x:c r="D174" s="81" t="str"/>
      <x:c r="E174" s="81"/>
      <x:c r="F174" s="81" t="str"/>
      <x:c r="G174" s="81" t="str"/>
      <x:c r="H174" s="84" t="str">
        <x:f>IF(C174="","",C174-WEEKDAY(C174,2)+1)</x:f>
      </x:c>
      <x:c r="I174" s="81" t="n">
        <x:f>IF(D174="Small task",1,IF(D174="Medium task",2,IF(D174="Large task",3,0)))</x:f>
        <x:v>0</x:v>
      </x:c>
      <x:c r="J174" s="81" t="n">
        <x:f>IF(AND(A174&lt;&gt;"",G174&lt;&gt;"Done"),1,0)</x:f>
        <x:v>0</x:v>
      </x:c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81" t="str"/>
      <x:c r="B175" s="81" t="str"/>
      <x:c r="C175" s="84"/>
      <x:c r="D175" s="81" t="str"/>
      <x:c r="E175" s="81"/>
      <x:c r="F175" s="81" t="str"/>
      <x:c r="G175" s="81" t="str"/>
      <x:c r="H175" s="84" t="str">
        <x:f>IF(C175="","",C175-WEEKDAY(C175,2)+1)</x:f>
      </x:c>
      <x:c r="I175" s="81" t="n">
        <x:f>IF(D175="Small task",1,IF(D175="Medium task",2,IF(D175="Large task",3,0)))</x:f>
        <x:v>0</x:v>
      </x:c>
      <x:c r="J175" s="81" t="n">
        <x:f>IF(AND(A175&lt;&gt;"",G175&lt;&gt;"Done"),1,0)</x:f>
        <x:v>0</x:v>
      </x:c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81" t="str"/>
      <x:c r="B176" s="81" t="str"/>
      <x:c r="C176" s="84"/>
      <x:c r="D176" s="81" t="str"/>
      <x:c r="E176" s="81"/>
      <x:c r="F176" s="81" t="str"/>
      <x:c r="G176" s="81" t="str"/>
      <x:c r="H176" s="84" t="str">
        <x:f>IF(C176="","",C176-WEEKDAY(C176,2)+1)</x:f>
      </x:c>
      <x:c r="I176" s="81" t="n">
        <x:f>IF(D176="Small task",1,IF(D176="Medium task",2,IF(D176="Large task",3,0)))</x:f>
        <x:v>0</x:v>
      </x:c>
      <x:c r="J176" s="81" t="n">
        <x:f>IF(AND(A176&lt;&gt;"",G176&lt;&gt;"Done"),1,0)</x:f>
        <x:v>0</x:v>
      </x:c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81" t="str"/>
      <x:c r="B177" s="81" t="str"/>
      <x:c r="C177" s="84"/>
      <x:c r="D177" s="81" t="str"/>
      <x:c r="E177" s="81"/>
      <x:c r="F177" s="81" t="str"/>
      <x:c r="G177" s="81" t="str"/>
      <x:c r="H177" s="84" t="str">
        <x:f>IF(C177="","",C177-WEEKDAY(C177,2)+1)</x:f>
      </x:c>
      <x:c r="I177" s="81" t="n">
        <x:f>IF(D177="Small task",1,IF(D177="Medium task",2,IF(D177="Large task",3,0)))</x:f>
        <x:v>0</x:v>
      </x:c>
      <x:c r="J177" s="81" t="n">
        <x:f>IF(AND(A177&lt;&gt;"",G177&lt;&gt;"Done"),1,0)</x:f>
        <x:v>0</x:v>
      </x:c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81" t="str"/>
      <x:c r="B178" s="81" t="str"/>
      <x:c r="C178" s="84"/>
      <x:c r="D178" s="81" t="str"/>
      <x:c r="E178" s="81"/>
      <x:c r="F178" s="81" t="str"/>
      <x:c r="G178" s="81" t="str"/>
      <x:c r="H178" s="84" t="str">
        <x:f>IF(C178="","",C178-WEEKDAY(C178,2)+1)</x:f>
      </x:c>
      <x:c r="I178" s="81" t="n">
        <x:f>IF(D178="Small task",1,IF(D178="Medium task",2,IF(D178="Large task",3,0)))</x:f>
        <x:v>0</x:v>
      </x:c>
      <x:c r="J178" s="81" t="n">
        <x:f>IF(AND(A178&lt;&gt;"",G178&lt;&gt;"Done"),1,0)</x:f>
        <x:v>0</x:v>
      </x:c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81" t="str"/>
      <x:c r="B179" s="81" t="str"/>
      <x:c r="C179" s="84"/>
      <x:c r="D179" s="81" t="str"/>
      <x:c r="E179" s="81"/>
      <x:c r="F179" s="81" t="str"/>
      <x:c r="G179" s="81" t="str"/>
      <x:c r="H179" s="84" t="str">
        <x:f>IF(C179="","",C179-WEEKDAY(C179,2)+1)</x:f>
      </x:c>
      <x:c r="I179" s="81" t="n">
        <x:f>IF(D179="Small task",1,IF(D179="Medium task",2,IF(D179="Large task",3,0)))</x:f>
        <x:v>0</x:v>
      </x:c>
      <x:c r="J179" s="81" t="n">
        <x:f>IF(AND(A179&lt;&gt;"",G179&lt;&gt;"Done"),1,0)</x:f>
        <x:v>0</x:v>
      </x:c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81" t="str"/>
      <x:c r="B180" s="81" t="str"/>
      <x:c r="C180" s="84"/>
      <x:c r="D180" s="81" t="str"/>
      <x:c r="E180" s="81"/>
      <x:c r="F180" s="81" t="str"/>
      <x:c r="G180" s="81" t="str"/>
      <x:c r="H180" s="84" t="str">
        <x:f>IF(C180="","",C180-WEEKDAY(C180,2)+1)</x:f>
      </x:c>
      <x:c r="I180" s="81" t="n">
        <x:f>IF(D180="Small task",1,IF(D180="Medium task",2,IF(D180="Large task",3,0)))</x:f>
        <x:v>0</x:v>
      </x:c>
      <x:c r="J180" s="81" t="n">
        <x:f>IF(AND(A180&lt;&gt;"",G180&lt;&gt;"Done"),1,0)</x:f>
        <x:v>0</x:v>
      </x:c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81" t="str"/>
      <x:c r="B181" s="81" t="str"/>
      <x:c r="C181" s="84"/>
      <x:c r="D181" s="81" t="str"/>
      <x:c r="E181" s="81"/>
      <x:c r="F181" s="81" t="str"/>
      <x:c r="G181" s="81" t="str"/>
      <x:c r="H181" s="84" t="str">
        <x:f>IF(C181="","",C181-WEEKDAY(C181,2)+1)</x:f>
      </x:c>
      <x:c r="I181" s="81" t="n">
        <x:f>IF(D181="Small task",1,IF(D181="Medium task",2,IF(D181="Large task",3,0)))</x:f>
        <x:v>0</x:v>
      </x:c>
      <x:c r="J181" s="81" t="n">
        <x:f>IF(AND(A181&lt;&gt;"",G181&lt;&gt;"Done"),1,0)</x:f>
        <x:v>0</x:v>
      </x:c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81" t="str"/>
      <x:c r="B182" s="81" t="str"/>
      <x:c r="C182" s="84"/>
      <x:c r="D182" s="81" t="str"/>
      <x:c r="E182" s="81"/>
      <x:c r="F182" s="81" t="str"/>
      <x:c r="G182" s="81" t="str"/>
      <x:c r="H182" s="84" t="str">
        <x:f>IF(C182="","",C182-WEEKDAY(C182,2)+1)</x:f>
      </x:c>
      <x:c r="I182" s="81" t="n">
        <x:f>IF(D182="Small task",1,IF(D182="Medium task",2,IF(D182="Large task",3,0)))</x:f>
        <x:v>0</x:v>
      </x:c>
      <x:c r="J182" s="81" t="n">
        <x:f>IF(AND(A182&lt;&gt;"",G182&lt;&gt;"Done"),1,0)</x:f>
        <x:v>0</x:v>
      </x:c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81" t="str"/>
      <x:c r="B183" s="81" t="str"/>
      <x:c r="C183" s="84"/>
      <x:c r="D183" s="81" t="str"/>
      <x:c r="E183" s="81"/>
      <x:c r="F183" s="81" t="str"/>
      <x:c r="G183" s="81" t="str"/>
      <x:c r="H183" s="84" t="str">
        <x:f>IF(C183="","",C183-WEEKDAY(C183,2)+1)</x:f>
      </x:c>
      <x:c r="I183" s="81" t="n">
        <x:f>IF(D183="Small task",1,IF(D183="Medium task",2,IF(D183="Large task",3,0)))</x:f>
        <x:v>0</x:v>
      </x:c>
      <x:c r="J183" s="81" t="n">
        <x:f>IF(AND(A183&lt;&gt;"",G183&lt;&gt;"Done"),1,0)</x:f>
        <x:v>0</x:v>
      </x:c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81" t="str"/>
      <x:c r="B184" s="81" t="str"/>
      <x:c r="C184" s="84"/>
      <x:c r="D184" s="81" t="str"/>
      <x:c r="E184" s="81"/>
      <x:c r="F184" s="81" t="str"/>
      <x:c r="G184" s="81" t="str"/>
      <x:c r="H184" s="84" t="str">
        <x:f>IF(C184="","",C184-WEEKDAY(C184,2)+1)</x:f>
      </x:c>
      <x:c r="I184" s="81" t="n">
        <x:f>IF(D184="Small task",1,IF(D184="Medium task",2,IF(D184="Large task",3,0)))</x:f>
        <x:v>0</x:v>
      </x:c>
      <x:c r="J184" s="81" t="n">
        <x:f>IF(AND(A184&lt;&gt;"",G184&lt;&gt;"Done"),1,0)</x:f>
        <x:v>0</x:v>
      </x:c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81" t="str"/>
      <x:c r="B185" s="81" t="str"/>
      <x:c r="C185" s="84"/>
      <x:c r="D185" s="81" t="str"/>
      <x:c r="E185" s="81"/>
      <x:c r="F185" s="81" t="str"/>
      <x:c r="G185" s="81" t="str"/>
      <x:c r="H185" s="84" t="str">
        <x:f>IF(C185="","",C185-WEEKDAY(C185,2)+1)</x:f>
      </x:c>
      <x:c r="I185" s="81" t="n">
        <x:f>IF(D185="Small task",1,IF(D185="Medium task",2,IF(D185="Large task",3,0)))</x:f>
        <x:v>0</x:v>
      </x:c>
      <x:c r="J185" s="81" t="n">
        <x:f>IF(AND(A185&lt;&gt;"",G185&lt;&gt;"Done"),1,0)</x:f>
        <x:v>0</x:v>
      </x:c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81" t="str"/>
      <x:c r="B186" s="81" t="str"/>
      <x:c r="C186" s="84"/>
      <x:c r="D186" s="81" t="str"/>
      <x:c r="E186" s="81"/>
      <x:c r="F186" s="81" t="str"/>
      <x:c r="G186" s="81" t="str"/>
      <x:c r="H186" s="84" t="str">
        <x:f>IF(C186="","",C186-WEEKDAY(C186,2)+1)</x:f>
      </x:c>
      <x:c r="I186" s="81" t="n">
        <x:f>IF(D186="Small task",1,IF(D186="Medium task",2,IF(D186="Large task",3,0)))</x:f>
        <x:v>0</x:v>
      </x:c>
      <x:c r="J186" s="81" t="n">
        <x:f>IF(AND(A186&lt;&gt;"",G186&lt;&gt;"Done"),1,0)</x:f>
        <x:v>0</x:v>
      </x:c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81" t="str"/>
      <x:c r="B187" s="81" t="str"/>
      <x:c r="C187" s="84"/>
      <x:c r="D187" s="81" t="str"/>
      <x:c r="E187" s="81"/>
      <x:c r="F187" s="81" t="str"/>
      <x:c r="G187" s="81" t="str"/>
      <x:c r="H187" s="84" t="str">
        <x:f>IF(C187="","",C187-WEEKDAY(C187,2)+1)</x:f>
      </x:c>
      <x:c r="I187" s="81" t="n">
        <x:f>IF(D187="Small task",1,IF(D187="Medium task",2,IF(D187="Large task",3,0)))</x:f>
        <x:v>0</x:v>
      </x:c>
      <x:c r="J187" s="81" t="n">
        <x:f>IF(AND(A187&lt;&gt;"",G187&lt;&gt;"Done"),1,0)</x:f>
        <x:v>0</x:v>
      </x:c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81" t="str"/>
      <x:c r="B188" s="81" t="str"/>
      <x:c r="C188" s="84"/>
      <x:c r="D188" s="81" t="str"/>
      <x:c r="E188" s="81"/>
      <x:c r="F188" s="81" t="str"/>
      <x:c r="G188" s="81" t="str"/>
      <x:c r="H188" s="84" t="str">
        <x:f>IF(C188="","",C188-WEEKDAY(C188,2)+1)</x:f>
      </x:c>
      <x:c r="I188" s="81" t="n">
        <x:f>IF(D188="Small task",1,IF(D188="Medium task",2,IF(D188="Large task",3,0)))</x:f>
        <x:v>0</x:v>
      </x:c>
      <x:c r="J188" s="81" t="n">
        <x:f>IF(AND(A188&lt;&gt;"",G188&lt;&gt;"Done"),1,0)</x:f>
        <x:v>0</x:v>
      </x:c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81" t="str"/>
      <x:c r="B189" s="81" t="str"/>
      <x:c r="C189" s="84"/>
      <x:c r="D189" s="81" t="str"/>
      <x:c r="E189" s="81"/>
      <x:c r="F189" s="81" t="str"/>
      <x:c r="G189" s="81" t="str"/>
      <x:c r="H189" s="84" t="str">
        <x:f>IF(C189="","",C189-WEEKDAY(C189,2)+1)</x:f>
      </x:c>
      <x:c r="I189" s="81" t="n">
        <x:f>IF(D189="Small task",1,IF(D189="Medium task",2,IF(D189="Large task",3,0)))</x:f>
        <x:v>0</x:v>
      </x:c>
      <x:c r="J189" s="81" t="n">
        <x:f>IF(AND(A189&lt;&gt;"",G189&lt;&gt;"Done"),1,0)</x:f>
        <x:v>0</x:v>
      </x:c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81" t="str"/>
      <x:c r="B190" s="81" t="str"/>
      <x:c r="C190" s="84"/>
      <x:c r="D190" s="81" t="str"/>
      <x:c r="E190" s="81"/>
      <x:c r="F190" s="81" t="str"/>
      <x:c r="G190" s="81" t="str"/>
      <x:c r="H190" s="84" t="str">
        <x:f>IF(C190="","",C190-WEEKDAY(C190,2)+1)</x:f>
      </x:c>
      <x:c r="I190" s="81" t="n">
        <x:f>IF(D190="Small task",1,IF(D190="Medium task",2,IF(D190="Large task",3,0)))</x:f>
        <x:v>0</x:v>
      </x:c>
      <x:c r="J190" s="81" t="n">
        <x:f>IF(AND(A190&lt;&gt;"",G190&lt;&gt;"Done"),1,0)</x:f>
        <x:v>0</x:v>
      </x:c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81" t="str"/>
      <x:c r="B191" s="81" t="str"/>
      <x:c r="C191" s="84"/>
      <x:c r="D191" s="81" t="str"/>
      <x:c r="E191" s="81"/>
      <x:c r="F191" s="81" t="str"/>
      <x:c r="G191" s="81" t="str"/>
      <x:c r="H191" s="84" t="str">
        <x:f>IF(C191="","",C191-WEEKDAY(C191,2)+1)</x:f>
      </x:c>
      <x:c r="I191" s="81" t="n">
        <x:f>IF(D191="Small task",1,IF(D191="Medium task",2,IF(D191="Large task",3,0)))</x:f>
        <x:v>0</x:v>
      </x:c>
      <x:c r="J191" s="81" t="n">
        <x:f>IF(AND(A191&lt;&gt;"",G191&lt;&gt;"Done"),1,0)</x:f>
        <x:v>0</x:v>
      </x:c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81" t="str"/>
      <x:c r="B192" s="81" t="str"/>
      <x:c r="C192" s="84"/>
      <x:c r="D192" s="81" t="str"/>
      <x:c r="E192" s="81"/>
      <x:c r="F192" s="81" t="str"/>
      <x:c r="G192" s="81" t="str"/>
      <x:c r="H192" s="84" t="str">
        <x:f>IF(C192="","",C192-WEEKDAY(C192,2)+1)</x:f>
      </x:c>
      <x:c r="I192" s="81" t="n">
        <x:f>IF(D192="Small task",1,IF(D192="Medium task",2,IF(D192="Large task",3,0)))</x:f>
        <x:v>0</x:v>
      </x:c>
      <x:c r="J192" s="81" t="n">
        <x:f>IF(AND(A192&lt;&gt;"",G192&lt;&gt;"Done"),1,0)</x:f>
        <x:v>0</x:v>
      </x:c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81" t="str"/>
      <x:c r="B193" s="81" t="str"/>
      <x:c r="C193" s="84"/>
      <x:c r="D193" s="81" t="str"/>
      <x:c r="E193" s="81"/>
      <x:c r="F193" s="81" t="str"/>
      <x:c r="G193" s="81" t="str"/>
      <x:c r="H193" s="84" t="str">
        <x:f>IF(C193="","",C193-WEEKDAY(C193,2)+1)</x:f>
      </x:c>
      <x:c r="I193" s="81" t="n">
        <x:f>IF(D193="Small task",1,IF(D193="Medium task",2,IF(D193="Large task",3,0)))</x:f>
        <x:v>0</x:v>
      </x:c>
      <x:c r="J193" s="81" t="n">
        <x:f>IF(AND(A193&lt;&gt;"",G193&lt;&gt;"Done"),1,0)</x:f>
        <x:v>0</x:v>
      </x:c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81" t="str"/>
      <x:c r="B194" s="81" t="str"/>
      <x:c r="C194" s="84"/>
      <x:c r="D194" s="81" t="str"/>
      <x:c r="E194" s="81"/>
      <x:c r="F194" s="81" t="str"/>
      <x:c r="G194" s="81" t="str"/>
      <x:c r="H194" s="84" t="str">
        <x:f>IF(C194="","",C194-WEEKDAY(C194,2)+1)</x:f>
      </x:c>
      <x:c r="I194" s="81" t="n">
        <x:f>IF(D194="Small task",1,IF(D194="Medium task",2,IF(D194="Large task",3,0)))</x:f>
        <x:v>0</x:v>
      </x:c>
      <x:c r="J194" s="81" t="n">
        <x:f>IF(AND(A194&lt;&gt;"",G194&lt;&gt;"Done"),1,0)</x:f>
        <x:v>0</x:v>
      </x:c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81" t="str"/>
      <x:c r="B195" s="81" t="str"/>
      <x:c r="C195" s="84"/>
      <x:c r="D195" s="81" t="str"/>
      <x:c r="E195" s="81"/>
      <x:c r="F195" s="81" t="str"/>
      <x:c r="G195" s="81" t="str"/>
      <x:c r="H195" s="84" t="str">
        <x:f>IF(C195="","",C195-WEEKDAY(C195,2)+1)</x:f>
      </x:c>
      <x:c r="I195" s="81" t="n">
        <x:f>IF(D195="Small task",1,IF(D195="Medium task",2,IF(D195="Large task",3,0)))</x:f>
        <x:v>0</x:v>
      </x:c>
      <x:c r="J195" s="81" t="n">
        <x:f>IF(AND(A195&lt;&gt;"",G195&lt;&gt;"Done"),1,0)</x:f>
        <x:v>0</x:v>
      </x:c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81" t="str"/>
      <x:c r="B196" s="81" t="str"/>
      <x:c r="C196" s="84"/>
      <x:c r="D196" s="81" t="str"/>
      <x:c r="E196" s="81"/>
      <x:c r="F196" s="81" t="str"/>
      <x:c r="G196" s="81" t="str"/>
      <x:c r="H196" s="84" t="str">
        <x:f>IF(C196="","",C196-WEEKDAY(C196,2)+1)</x:f>
      </x:c>
      <x:c r="I196" s="81" t="n">
        <x:f>IF(D196="Small task",1,IF(D196="Medium task",2,IF(D196="Large task",3,0)))</x:f>
        <x:v>0</x:v>
      </x:c>
      <x:c r="J196" s="81" t="n">
        <x:f>IF(AND(A196&lt;&gt;"",G196&lt;&gt;"Done"),1,0)</x:f>
        <x:v>0</x:v>
      </x:c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81" t="str"/>
      <x:c r="B197" s="81" t="str"/>
      <x:c r="C197" s="84"/>
      <x:c r="D197" s="81" t="str"/>
      <x:c r="E197" s="81"/>
      <x:c r="F197" s="81" t="str"/>
      <x:c r="G197" s="81" t="str"/>
      <x:c r="H197" s="84" t="str">
        <x:f>IF(C197="","",C197-WEEKDAY(C197,2)+1)</x:f>
      </x:c>
      <x:c r="I197" s="81" t="n">
        <x:f>IF(D197="Small task",1,IF(D197="Medium task",2,IF(D197="Large task",3,0)))</x:f>
        <x:v>0</x:v>
      </x:c>
      <x:c r="J197" s="81" t="n">
        <x:f>IF(AND(A197&lt;&gt;"",G197&lt;&gt;"Done"),1,0)</x:f>
        <x:v>0</x:v>
      </x:c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81" t="str"/>
      <x:c r="B198" s="81" t="str"/>
      <x:c r="C198" s="84"/>
      <x:c r="D198" s="81" t="str"/>
      <x:c r="E198" s="81"/>
      <x:c r="F198" s="81" t="str"/>
      <x:c r="G198" s="81" t="str"/>
      <x:c r="H198" s="84" t="str">
        <x:f>IF(C198="","",C198-WEEKDAY(C198,2)+1)</x:f>
      </x:c>
      <x:c r="I198" s="81" t="n">
        <x:f>IF(D198="Small task",1,IF(D198="Medium task",2,IF(D198="Large task",3,0)))</x:f>
        <x:v>0</x:v>
      </x:c>
      <x:c r="J198" s="81" t="n">
        <x:f>IF(AND(A198&lt;&gt;"",G198&lt;&gt;"Done"),1,0)</x:f>
        <x:v>0</x:v>
      </x:c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81" t="str"/>
      <x:c r="B199" s="81" t="str"/>
      <x:c r="C199" s="84"/>
      <x:c r="D199" s="81" t="str"/>
      <x:c r="E199" s="81"/>
      <x:c r="F199" s="81" t="str"/>
      <x:c r="G199" s="81" t="str"/>
      <x:c r="H199" s="84" t="str">
        <x:f>IF(C199="","",C199-WEEKDAY(C199,2)+1)</x:f>
      </x:c>
      <x:c r="I199" s="81" t="n">
        <x:f>IF(D199="Small task",1,IF(D199="Medium task",2,IF(D199="Large task",3,0)))</x:f>
        <x:v>0</x:v>
      </x:c>
      <x:c r="J199" s="81" t="n">
        <x:f>IF(AND(A199&lt;&gt;"",G199&lt;&gt;"Done"),1,0)</x:f>
        <x:v>0</x:v>
      </x:c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81" t="str"/>
      <x:c r="B200" s="81" t="str"/>
      <x:c r="C200" s="84"/>
      <x:c r="D200" s="81" t="str"/>
      <x:c r="E200" s="81"/>
      <x:c r="F200" s="81" t="str"/>
      <x:c r="G200" s="81" t="str"/>
      <x:c r="H200" s="84" t="str">
        <x:f>IF(C200="","",C200-WEEKDAY(C200,2)+1)</x:f>
      </x:c>
      <x:c r="I200" s="81" t="n">
        <x:f>IF(D200="Small task",1,IF(D200="Medium task",2,IF(D200="Large task",3,0)))</x:f>
        <x:v>0</x:v>
      </x:c>
      <x:c r="J200" s="81" t="n">
        <x:f>IF(AND(A200&lt;&gt;"",G200&lt;&gt;"Done"),1,0)</x:f>
        <x:v>0</x:v>
      </x:c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81" t="str"/>
      <x:c r="B201" s="81" t="str"/>
      <x:c r="C201" s="84"/>
      <x:c r="D201" s="81" t="str"/>
      <x:c r="E201" s="81"/>
      <x:c r="F201" s="81" t="str"/>
      <x:c r="G201" s="81" t="str"/>
      <x:c r="H201" s="84" t="str">
        <x:f>IF(C201="","",C201-WEEKDAY(C201,2)+1)</x:f>
      </x:c>
      <x:c r="I201" s="81" t="n">
        <x:f>IF(D201="Small task",1,IF(D201="Medium task",2,IF(D201="Large task",3,0)))</x:f>
        <x:v>0</x:v>
      </x:c>
      <x:c r="J201" s="81" t="n">
        <x:f>IF(AND(A201&lt;&gt;"",G201&lt;&gt;"Done"),1,0)</x:f>
        <x:v>0</x:v>
      </x:c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81" t="str"/>
      <x:c r="B202" s="81" t="str"/>
      <x:c r="C202" s="84"/>
      <x:c r="D202" s="81" t="str"/>
      <x:c r="E202" s="81"/>
      <x:c r="F202" s="81" t="str"/>
      <x:c r="G202" s="81" t="str"/>
      <x:c r="H202" s="84" t="str">
        <x:f>IF(C202="","",C202-WEEKDAY(C202,2)+1)</x:f>
      </x:c>
      <x:c r="I202" s="81" t="n">
        <x:f>IF(D202="Small task",1,IF(D202="Medium task",2,IF(D202="Large task",3,0)))</x:f>
        <x:v>0</x:v>
      </x:c>
      <x:c r="J202" s="81" t="n">
        <x:f>IF(AND(A202&lt;&gt;"",G202&lt;&gt;"Done"),1,0)</x:f>
        <x:v>0</x:v>
      </x:c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81" t="str"/>
      <x:c r="B203" s="81" t="str"/>
      <x:c r="C203" s="84"/>
      <x:c r="D203" s="81" t="str"/>
      <x:c r="E203" s="81"/>
      <x:c r="F203" s="81" t="str"/>
      <x:c r="G203" s="81" t="str"/>
      <x:c r="H203" s="84" t="str">
        <x:f>IF(C203="","",C203-WEEKDAY(C203,2)+1)</x:f>
      </x:c>
      <x:c r="I203" s="81" t="n">
        <x:f>IF(D203="Small task",1,IF(D203="Medium task",2,IF(D203="Large task",3,0)))</x:f>
        <x:v>0</x:v>
      </x:c>
      <x:c r="J203" s="81" t="n">
        <x:f>IF(AND(A203&lt;&gt;"",G203&lt;&gt;"Done"),1,0)</x:f>
        <x:v>0</x:v>
      </x:c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81" t="str"/>
      <x:c r="B204" s="81" t="str"/>
      <x:c r="C204" s="84"/>
      <x:c r="D204" s="81" t="str"/>
      <x:c r="E204" s="81"/>
      <x:c r="F204" s="81" t="str"/>
      <x:c r="G204" s="81" t="str"/>
      <x:c r="H204" s="84" t="str">
        <x:f>IF(C204="","",C204-WEEKDAY(C204,2)+1)</x:f>
      </x:c>
      <x:c r="I204" s="81" t="n">
        <x:f>IF(D204="Small task",1,IF(D204="Medium task",2,IF(D204="Large task",3,0)))</x:f>
        <x:v>0</x:v>
      </x:c>
      <x:c r="J204" s="81" t="n">
        <x:f>IF(AND(A204&lt;&gt;"",G204&lt;&gt;"Done"),1,0)</x:f>
        <x:v>0</x:v>
      </x:c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J1"/>
    <x:mergeCell ref="A2:J2"/>
  </x:mergeCells>
  <x:conditionalFormatting sqref="G5:G204">
    <x:cfRule type="expression" dxfId="0" priority="1">
      <x:formula>G5="Done"</x:formula>
    </x:cfRule>
    <x:cfRule type="expression" dxfId="1" priority="2">
      <x:formula>G5="In progress"</x:formula>
    </x:cfRule>
    <x:cfRule type="expression" dxfId="2" priority="3">
      <x:formula>G5="Open"</x:formula>
    </x:cfRule>
  </x:conditionalFormatting>
  <x:conditionalFormatting sqref="F5:F204">
    <x:cfRule type="expression" dxfId="3" priority="4">
      <x:formula>F5="Unclear"</x:formula>
    </x:cfRule>
  </x:conditionalFormatting>
  <x:dataValidations count="3">
    <x:dataValidation type="list" sqref="D5:D204">
      <x:formula1>"Small task,Medium task,Large task"</x:formula1>
    </x:dataValidation>
    <x:dataValidation type="list" sqref="F5:F204">
      <x:formula1>"Clear,Partly clear,Unclear"</x:formula1>
    </x:dataValidation>
    <x:dataValidation type="list" sqref="G5:G204">
      <x:formula1>"Open,In progress,Done"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b5d39d5f7b4c4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11.880000114440918" hidden="0" customWidth="1"/>
    <x:col min="3" max="3" width="15.75" hidden="0" customWidth="1"/>
    <x:col min="4" max="4" width="16.1299991607666" hidden="0" customWidth="1"/>
    <x:col min="5" max="5" width="12.130000114440918" hidden="0" customWidth="1"/>
    <x:col min="6" max="6" width="13.380000114440918" hidden="0" customWidth="1"/>
    <x:col min="7" max="7" width="15.75" hidden="0" customWidth="1"/>
    <x:col min="8" max="8" width="12.380000114440918" hidden="0" customWidth="1"/>
    <x:col min="9" max="9" width="13.130000114440918" hidden="0" customWidth="1"/>
    <x:col min="10" max="10" width="11.25" hidden="0" customWidth="1"/>
    <x:col min="11" max="11" width="7" hidden="0" customWidth="1"/>
    <x:col min="12" max="12" width="6.630000114440918" hidden="0" customWidth="1"/>
    <x:col min="13" max="13" width="5.75" hidden="0" customWidth="1"/>
    <x:col min="14" max="14" width="6.5" hidden="0" customWidth="1"/>
    <x:col min="15" max="15" width="5.880000114440918" hidden="0" customWidth="1"/>
    <x:col min="16" max="16" width="5" hidden="0" customWidth="1"/>
    <x:col min="17" max="17" width="5.5" hidden="0" customWidth="1"/>
    <x:col min="18" max="18" width="5.880000114440918" hidden="0" customWidth="1"/>
  </x:cols>
  <x:sheetData>
    <x:row r="1" ht="34" customHeight="1">
      <x:c r="A1" s="74" t="str">
        <x:v>VIP Weekly Heatmap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Green, Yellow, and Red weeks are generated from the Deadline Bank.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Week Start</x:v>
      </x:c>
      <x:c r="B4" s="80" t="str">
        <x:v>Week Label</x:v>
      </x:c>
      <x:c r="C4" s="80" t="str">
        <x:v>Active Deadlines</x:v>
      </x:c>
      <x:c r="D4" s="80" t="str">
        <x:v>Assessment Load</x:v>
      </x:c>
      <x:c r="E4" s="80" t="str">
        <x:v>Effort Hours</x:v>
      </x:c>
      <x:c r="F4" s="80" t="str">
        <x:v>Unclear Tasks</x:v>
      </x:c>
      <x:c r="G4" s="80" t="str">
        <x:v>Clustering Points</x:v>
      </x:c>
      <x:c r="H4" s="80" t="str">
        <x:v>Effort Points</x:v>
      </x:c>
      <x:c r="I4" s="80" t="str">
        <x:v>Clarity Points</x:v>
      </x:c>
      <x:c r="J4" s="80" t="str">
        <x:v>Load Score</x:v>
      </x:c>
      <x:c r="K4" s="80" t="str">
        <x:v>Level</x:v>
      </x:c>
      <x:c r="L4" s="80" t="str">
        <x:v>Mon</x:v>
      </x:c>
      <x:c r="M4" s="80" t="str">
        <x:v>Tue</x:v>
      </x:c>
      <x:c r="N4" s="80" t="str">
        <x:v>Wed</x:v>
      </x:c>
      <x:c r="O4" s="80" t="str">
        <x:v>Thu</x:v>
      </x:c>
      <x:c r="P4" s="80" t="str">
        <x:v>Fri</x:v>
      </x:c>
      <x:c r="Q4" s="80" t="str">
        <x:v>Sat</x:v>
      </x:c>
      <x:c r="R4" s="80" t="str">
        <x:v>Sun</x:v>
      </x:c>
      <x:c r="S4" s="59"/>
      <x:c r="T4" s="59"/>
      <x:c r="U4" s="59"/>
      <x:c r="V4" s="59"/>
      <x:c r="W4" s="59"/>
      <x:c r="X4" s="59"/>
      <x:c r="Y4" s="59"/>
      <x:c r="Z4" s="59"/>
    </x:row>
    <x:row r="5">
      <x:c r="A5" s="86" t="n">
        <x:v>46188</x:v>
      </x:c>
      <x:c r="B5" s="59" t="str">
        <x:f>TEXT(A5,"mmm d")&amp;"–"&amp;TEXT(A5+6,"mmm d")</x:f>
        <x:v>Jun 15–Jun 21</x:v>
      </x:c>
      <x:c r="C5" s="59" t="n">
        <x:f>COUNTIFS('Deadline Bank'!$H$5:$H$204,$A5,'Deadline Bank'!$G$5:$G$204,"&lt;&gt;Done")</x:f>
        <x:v>2</x:v>
      </x:c>
      <x:c r="D5" s="59" t="n">
        <x:f>SUMIFS('Deadline Bank'!$I$5:$I$204,'Deadline Bank'!$H$5:$H$204,$A5,'Deadline Bank'!$G$5:$G$204,"&lt;&gt;Done")</x:f>
        <x:v>4</x:v>
      </x:c>
      <x:c r="E5" s="59" t="n">
        <x:f>SUMIFS('Deadline Bank'!$E$5:$E$204,'Deadline Bank'!$H$5:$H$204,$A5,'Deadline Bank'!$G$5:$G$204,"&lt;&gt;Done")</x:f>
        <x:v>9</x:v>
      </x:c>
      <x:c r="F5" s="59" t="n">
        <x:f>COUNTIFS('Deadline Bank'!$H$5:$H$204,$A5,'Deadline Bank'!$F$5:$F$204,"Unclear",'Deadline Bank'!$G$5:$G$204,"&lt;&gt;Done")</x:f>
        <x:v>1</x:v>
      </x:c>
      <x:c r="G5" s="59" t="n">
        <x:f>IF(MAX(COUNTIFS('Deadline Bank'!$C$5:$C$204,"&gt;="&amp;$A5,'Deadline Bank'!$C$5:$C$204,"&lt;="&amp;$A5+2,'Deadline Bank'!$G$5:$G$204,"&lt;&gt;Done"),COUNTIFS('Deadline Bank'!$C$5:$C$204,"&gt;="&amp;$A5+1,'Deadline Bank'!$C$5:$C$204,"&lt;="&amp;$A5+3,'Deadline Bank'!$G$5:$G$204,"&lt;&gt;Done"),COUNTIFS('Deadline Bank'!$C$5:$C$204,"&gt;="&amp;$A5+2,'Deadline Bank'!$C$5:$C$204,"&lt;="&amp;$A5+4,'Deadline Bank'!$G$5:$G$204,"&lt;&gt;Done"),COUNTIFS('Deadline Bank'!$C$5:$C$204,"&gt;="&amp;$A5+3,'Deadline Bank'!$C$5:$C$204,"&lt;="&amp;$A5+5,'Deadline Bank'!$G$5:$G$204,"&lt;&gt;Done"),COUNTIFS('Deadline Bank'!$C$5:$C$204,"&gt;="&amp;$A5+4,'Deadline Bank'!$C$5:$C$204,"&lt;="&amp;$A5+6,'Deadline Bank'!$G$5:$G$204,"&lt;&gt;Done"))&gt;=3,3,IF(MAX(COUNTIFS('Deadline Bank'!$C$5:$C$204,"&gt;="&amp;$A5,'Deadline Bank'!$C$5:$C$204,"&lt;="&amp;$A5+1,'Deadline Bank'!$G$5:$G$204,"&lt;&gt;Done"),COUNTIFS('Deadline Bank'!$C$5:$C$204,"&gt;="&amp;$A5+1,'Deadline Bank'!$C$5:$C$204,"&lt;="&amp;$A5+2,'Deadline Bank'!$G$5:$G$204,"&lt;&gt;Done"),COUNTIFS('Deadline Bank'!$C$5:$C$204,"&gt;="&amp;$A5+2,'Deadline Bank'!$C$5:$C$204,"&lt;="&amp;$A5+3,'Deadline Bank'!$G$5:$G$204,"&lt;&gt;Done"),COUNTIFS('Deadline Bank'!$C$5:$C$204,"&gt;="&amp;$A5+3,'Deadline Bank'!$C$5:$C$204,"&lt;="&amp;$A5+4,'Deadline Bank'!$G$5:$G$204,"&lt;&gt;Done"),COUNTIFS('Deadline Bank'!$C$5:$C$204,"&gt;="&amp;$A5+4,'Deadline Bank'!$C$5:$C$204,"&lt;="&amp;$A5+5,'Deadline Bank'!$G$5:$G$204,"&lt;&gt;Done"),COUNTIFS('Deadline Bank'!$C$5:$C$204,"&gt;="&amp;$A5+5,'Deadline Bank'!$C$5:$C$204,"&lt;="&amp;$A5+6,'Deadline Bank'!$G$5:$G$204,"&lt;&gt;Done"))&gt;=2,2,0))</x:f>
        <x:v>2</x:v>
      </x:c>
      <x:c r="H5" s="59" t="n">
        <x:f>IF(E5&gt;=12,2,IF(E5&gt;=7,1,0))</x:f>
        <x:v>1</x:v>
      </x:c>
      <x:c r="I5" s="59" t="n">
        <x:f>MIN(2,F5)</x:f>
        <x:v>1</x:v>
      </x:c>
      <x:c r="J5" s="59" t="n">
        <x:f>D5+G5+H5+I5</x:f>
        <x:v>8</x:v>
      </x:c>
      <x:c r="K5" s="59" t="str">
        <x:f>IF(J5&gt;=9,"Red",IF(J5&gt;=5,"Yellow","Green"))</x:f>
        <x:v>Yellow</x:v>
      </x:c>
      <x:c r="L5" s="59" t="n">
        <x:f>COUNTIFS('Deadline Bank'!$C$5:$C$204,$A5+0,'Deadline Bank'!$G$5:$G$204,"&lt;&gt;Done")</x:f>
        <x:v>0</x:v>
      </x:c>
      <x:c r="M5" s="59" t="n">
        <x:f>COUNTIFS('Deadline Bank'!$C$5:$C$204,$A5+1,'Deadline Bank'!$G$5:$G$204,"&lt;&gt;Done")</x:f>
        <x:v>0</x:v>
      </x:c>
      <x:c r="N5" s="59" t="n">
        <x:f>COUNTIFS('Deadline Bank'!$C$5:$C$204,$A5+2,'Deadline Bank'!$G$5:$G$204,"&lt;&gt;Done")</x:f>
        <x:v>0</x:v>
      </x:c>
      <x:c r="O5" s="59" t="n">
        <x:f>COUNTIFS('Deadline Bank'!$C$5:$C$204,$A5+3,'Deadline Bank'!$G$5:$G$204,"&lt;&gt;Done")</x:f>
        <x:v>1</x:v>
      </x:c>
      <x:c r="P5" s="59" t="n">
        <x:f>COUNTIFS('Deadline Bank'!$C$5:$C$204,$A5+4,'Deadline Bank'!$G$5:$G$204,"&lt;&gt;Done")</x:f>
        <x:v>1</x:v>
      </x:c>
      <x:c r="Q5" s="59" t="n">
        <x:f>COUNTIFS('Deadline Bank'!$C$5:$C$204,$A5+5,'Deadline Bank'!$G$5:$G$204,"&lt;&gt;Done")</x:f>
        <x:v>0</x:v>
      </x:c>
      <x:c r="R5" s="59" t="n">
        <x:f>COUNTIFS('Deadline Bank'!$C$5:$C$204,$A5+6,'Deadline Bank'!$G$5:$G$204,"&lt;&gt;Done")</x:f>
        <x:v>0</x:v>
      </x:c>
      <x:c r="S5" s="59"/>
      <x:c r="T5" s="59"/>
      <x:c r="U5" s="59"/>
      <x:c r="V5" s="59"/>
      <x:c r="W5" s="59"/>
      <x:c r="X5" s="59"/>
      <x:c r="Y5" s="59"/>
      <x:c r="Z5" s="59"/>
    </x:row>
    <x:row r="6">
      <x:c r="A6" s="86" t="n">
        <x:v>46195</x:v>
      </x:c>
      <x:c r="B6" s="59" t="str">
        <x:f>TEXT(A6,"mmm d")&amp;"–"&amp;TEXT(A6+6,"mmm d")</x:f>
        <x:v>Jun 22–Jun 28</x:v>
      </x:c>
      <x:c r="C6" s="59" t="n">
        <x:f>COUNTIFS('Deadline Bank'!$H$5:$H$204,$A6,'Deadline Bank'!$G$5:$G$204,"&lt;&gt;Done")</x:f>
        <x:v>3</x:v>
      </x:c>
      <x:c r="D6" s="59" t="n">
        <x:f>SUMIFS('Deadline Bank'!$I$5:$I$204,'Deadline Bank'!$H$5:$H$204,$A6,'Deadline Bank'!$G$5:$G$204,"&lt;&gt;Done")</x:f>
        <x:v>6</x:v>
      </x:c>
      <x:c r="E6" s="59" t="n">
        <x:f>SUMIFS('Deadline Bank'!$E$5:$E$204,'Deadline Bank'!$H$5:$H$204,$A6,'Deadline Bank'!$G$5:$G$204,"&lt;&gt;Done")</x:f>
        <x:v>16</x:v>
      </x:c>
      <x:c r="F6" s="59" t="n">
        <x:f>COUNTIFS('Deadline Bank'!$H$5:$H$204,$A6,'Deadline Bank'!$F$5:$F$204,"Unclear",'Deadline Bank'!$G$5:$G$204,"&lt;&gt;Done")</x:f>
        <x:v>1</x:v>
      </x:c>
      <x:c r="G6" s="59" t="n">
        <x:f>IF(MAX(COUNTIFS('Deadline Bank'!$C$5:$C$204,"&gt;="&amp;$A6,'Deadline Bank'!$C$5:$C$204,"&lt;="&amp;$A6+2,'Deadline Bank'!$G$5:$G$204,"&lt;&gt;Done"),COUNTIFS('Deadline Bank'!$C$5:$C$204,"&gt;="&amp;$A6+1,'Deadline Bank'!$C$5:$C$204,"&lt;="&amp;$A6+3,'Deadline Bank'!$G$5:$G$204,"&lt;&gt;Done"),COUNTIFS('Deadline Bank'!$C$5:$C$204,"&gt;="&amp;$A6+2,'Deadline Bank'!$C$5:$C$204,"&lt;="&amp;$A6+4,'Deadline Bank'!$G$5:$G$204,"&lt;&gt;Done"),COUNTIFS('Deadline Bank'!$C$5:$C$204,"&gt;="&amp;$A6+3,'Deadline Bank'!$C$5:$C$204,"&lt;="&amp;$A6+5,'Deadline Bank'!$G$5:$G$204,"&lt;&gt;Done"),COUNTIFS('Deadline Bank'!$C$5:$C$204,"&gt;="&amp;$A6+4,'Deadline Bank'!$C$5:$C$204,"&lt;="&amp;$A6+6,'Deadline Bank'!$G$5:$G$204,"&lt;&gt;Done"))&gt;=3,3,IF(MAX(COUNTIFS('Deadline Bank'!$C$5:$C$204,"&gt;="&amp;$A6,'Deadline Bank'!$C$5:$C$204,"&lt;="&amp;$A6+1,'Deadline Bank'!$G$5:$G$204,"&lt;&gt;Done"),COUNTIFS('Deadline Bank'!$C$5:$C$204,"&gt;="&amp;$A6+1,'Deadline Bank'!$C$5:$C$204,"&lt;="&amp;$A6+2,'Deadline Bank'!$G$5:$G$204,"&lt;&gt;Done"),COUNTIFS('Deadline Bank'!$C$5:$C$204,"&gt;="&amp;$A6+2,'Deadline Bank'!$C$5:$C$204,"&lt;="&amp;$A6+3,'Deadline Bank'!$G$5:$G$204,"&lt;&gt;Done"),COUNTIFS('Deadline Bank'!$C$5:$C$204,"&gt;="&amp;$A6+3,'Deadline Bank'!$C$5:$C$204,"&lt;="&amp;$A6+4,'Deadline Bank'!$G$5:$G$204,"&lt;&gt;Done"),COUNTIFS('Deadline Bank'!$C$5:$C$204,"&gt;="&amp;$A6+4,'Deadline Bank'!$C$5:$C$204,"&lt;="&amp;$A6+5,'Deadline Bank'!$G$5:$G$204,"&lt;&gt;Done"),COUNTIFS('Deadline Bank'!$C$5:$C$204,"&gt;="&amp;$A6+5,'Deadline Bank'!$C$5:$C$204,"&lt;="&amp;$A6+6,'Deadline Bank'!$G$5:$G$204,"&lt;&gt;Done"))&gt;=2,2,0))</x:f>
        <x:v>3</x:v>
      </x:c>
      <x:c r="H6" s="59" t="n">
        <x:f>IF(E6&gt;=12,2,IF(E6&gt;=7,1,0))</x:f>
        <x:v>2</x:v>
      </x:c>
      <x:c r="I6" s="59" t="n">
        <x:f>MIN(2,F6)</x:f>
        <x:v>1</x:v>
      </x:c>
      <x:c r="J6" s="59" t="n">
        <x:f>D6+G6+H6+I6</x:f>
        <x:v>12</x:v>
      </x:c>
      <x:c r="K6" s="59" t="str">
        <x:f>IF(J6&gt;=9,"Red",IF(J6&gt;=5,"Yellow","Green"))</x:f>
        <x:v>Red</x:v>
      </x:c>
      <x:c r="L6" s="59" t="n">
        <x:f>COUNTIFS('Deadline Bank'!$C$5:$C$204,$A6+0,'Deadline Bank'!$G$5:$G$204,"&lt;&gt;Done")</x:f>
        <x:v>0</x:v>
      </x:c>
      <x:c r="M6" s="59" t="n">
        <x:f>COUNTIFS('Deadline Bank'!$C$5:$C$204,$A6+1,'Deadline Bank'!$G$5:$G$204,"&lt;&gt;Done")</x:f>
        <x:v>0</x:v>
      </x:c>
      <x:c r="N6" s="59" t="n">
        <x:f>COUNTIFS('Deadline Bank'!$C$5:$C$204,$A6+2,'Deadline Bank'!$G$5:$G$204,"&lt;&gt;Done")</x:f>
        <x:v>1</x:v>
      </x:c>
      <x:c r="O6" s="59" t="n">
        <x:f>COUNTIFS('Deadline Bank'!$C$5:$C$204,$A6+3,'Deadline Bank'!$G$5:$G$204,"&lt;&gt;Done")</x:f>
        <x:v>1</x:v>
      </x:c>
      <x:c r="P6" s="59" t="n">
        <x:f>COUNTIFS('Deadline Bank'!$C$5:$C$204,$A6+4,'Deadline Bank'!$G$5:$G$204,"&lt;&gt;Done")</x:f>
        <x:v>1</x:v>
      </x:c>
      <x:c r="Q6" s="59" t="n">
        <x:f>COUNTIFS('Deadline Bank'!$C$5:$C$204,$A6+5,'Deadline Bank'!$G$5:$G$204,"&lt;&gt;Done")</x:f>
        <x:v>0</x:v>
      </x:c>
      <x:c r="R6" s="59" t="n">
        <x:f>COUNTIFS('Deadline Bank'!$C$5:$C$204,$A6+6,'Deadline Bank'!$G$5:$G$204,"&lt;&gt;Done")</x:f>
        <x:v>0</x:v>
      </x:c>
      <x:c r="S6" s="59"/>
      <x:c r="T6" s="59"/>
      <x:c r="U6" s="59"/>
      <x:c r="V6" s="59"/>
      <x:c r="W6" s="59"/>
      <x:c r="X6" s="59"/>
      <x:c r="Y6" s="59"/>
      <x:c r="Z6" s="59"/>
    </x:row>
    <x:row r="7">
      <x:c r="A7" s="86" t="n">
        <x:v>46202</x:v>
      </x:c>
      <x:c r="B7" s="59" t="str">
        <x:f>TEXT(A7,"mmm d")&amp;"–"&amp;TEXT(A7+6,"mmm d")</x:f>
        <x:v>Jun 29–Jul 5</x:v>
      </x:c>
      <x:c r="C7" s="59" t="n">
        <x:f>COUNTIFS('Deadline Bank'!$H$5:$H$204,$A7,'Deadline Bank'!$G$5:$G$204,"&lt;&gt;Done")</x:f>
        <x:v>1</x:v>
      </x:c>
      <x:c r="D7" s="59" t="n">
        <x:f>SUMIFS('Deadline Bank'!$I$5:$I$204,'Deadline Bank'!$H$5:$H$204,$A7,'Deadline Bank'!$G$5:$G$204,"&lt;&gt;Done")</x:f>
        <x:v>3</x:v>
      </x:c>
      <x:c r="E7" s="59" t="n">
        <x:f>SUMIFS('Deadline Bank'!$E$5:$E$204,'Deadline Bank'!$H$5:$H$204,$A7,'Deadline Bank'!$G$5:$G$204,"&lt;&gt;Done")</x:f>
        <x:v>9</x:v>
      </x:c>
      <x:c r="F7" s="59" t="n">
        <x:f>COUNTIFS('Deadline Bank'!$H$5:$H$204,$A7,'Deadline Bank'!$F$5:$F$204,"Unclear",'Deadline Bank'!$G$5:$G$204,"&lt;&gt;Done")</x:f>
        <x:v>0</x:v>
      </x:c>
      <x:c r="G7" s="59" t="n">
        <x:f>IF(MAX(COUNTIFS('Deadline Bank'!$C$5:$C$204,"&gt;="&amp;$A7,'Deadline Bank'!$C$5:$C$204,"&lt;="&amp;$A7+2,'Deadline Bank'!$G$5:$G$204,"&lt;&gt;Done"),COUNTIFS('Deadline Bank'!$C$5:$C$204,"&gt;="&amp;$A7+1,'Deadline Bank'!$C$5:$C$204,"&lt;="&amp;$A7+3,'Deadline Bank'!$G$5:$G$204,"&lt;&gt;Done"),COUNTIFS('Deadline Bank'!$C$5:$C$204,"&gt;="&amp;$A7+2,'Deadline Bank'!$C$5:$C$204,"&lt;="&amp;$A7+4,'Deadline Bank'!$G$5:$G$204,"&lt;&gt;Done"),COUNTIFS('Deadline Bank'!$C$5:$C$204,"&gt;="&amp;$A7+3,'Deadline Bank'!$C$5:$C$204,"&lt;="&amp;$A7+5,'Deadline Bank'!$G$5:$G$204,"&lt;&gt;Done"),COUNTIFS('Deadline Bank'!$C$5:$C$204,"&gt;="&amp;$A7+4,'Deadline Bank'!$C$5:$C$204,"&lt;="&amp;$A7+6,'Deadline Bank'!$G$5:$G$204,"&lt;&gt;Done"))&gt;=3,3,IF(MAX(COUNTIFS('Deadline Bank'!$C$5:$C$204,"&gt;="&amp;$A7,'Deadline Bank'!$C$5:$C$204,"&lt;="&amp;$A7+1,'Deadline Bank'!$G$5:$G$204,"&lt;&gt;Done"),COUNTIFS('Deadline Bank'!$C$5:$C$204,"&gt;="&amp;$A7+1,'Deadline Bank'!$C$5:$C$204,"&lt;="&amp;$A7+2,'Deadline Bank'!$G$5:$G$204,"&lt;&gt;Done"),COUNTIFS('Deadline Bank'!$C$5:$C$204,"&gt;="&amp;$A7+2,'Deadline Bank'!$C$5:$C$204,"&lt;="&amp;$A7+3,'Deadline Bank'!$G$5:$G$204,"&lt;&gt;Done"),COUNTIFS('Deadline Bank'!$C$5:$C$204,"&gt;="&amp;$A7+3,'Deadline Bank'!$C$5:$C$204,"&lt;="&amp;$A7+4,'Deadline Bank'!$G$5:$G$204,"&lt;&gt;Done"),COUNTIFS('Deadline Bank'!$C$5:$C$204,"&gt;="&amp;$A7+4,'Deadline Bank'!$C$5:$C$204,"&lt;="&amp;$A7+5,'Deadline Bank'!$G$5:$G$204,"&lt;&gt;Done"),COUNTIFS('Deadline Bank'!$C$5:$C$204,"&gt;="&amp;$A7+5,'Deadline Bank'!$C$5:$C$204,"&lt;="&amp;$A7+6,'Deadline Bank'!$G$5:$G$204,"&lt;&gt;Done"))&gt;=2,2,0))</x:f>
        <x:v>0</x:v>
      </x:c>
      <x:c r="H7" s="59" t="n">
        <x:f>IF(E7&gt;=12,2,IF(E7&gt;=7,1,0))</x:f>
        <x:v>1</x:v>
      </x:c>
      <x:c r="I7" s="59" t="n">
        <x:f>MIN(2,F7)</x:f>
        <x:v>0</x:v>
      </x:c>
      <x:c r="J7" s="59" t="n">
        <x:f>D7+G7+H7+I7</x:f>
        <x:v>4</x:v>
      </x:c>
      <x:c r="K7" s="59" t="str">
        <x:f>IF(J7&gt;=9,"Red",IF(J7&gt;=5,"Yellow","Green"))</x:f>
        <x:v>Green</x:v>
      </x:c>
      <x:c r="L7" s="59" t="n">
        <x:f>COUNTIFS('Deadline Bank'!$C$5:$C$204,$A7+0,'Deadline Bank'!$G$5:$G$204,"&lt;&gt;Done")</x:f>
        <x:v>0</x:v>
      </x:c>
      <x:c r="M7" s="59" t="n">
        <x:f>COUNTIFS('Deadline Bank'!$C$5:$C$204,$A7+1,'Deadline Bank'!$G$5:$G$204,"&lt;&gt;Done")</x:f>
        <x:v>0</x:v>
      </x:c>
      <x:c r="N7" s="59" t="n">
        <x:f>COUNTIFS('Deadline Bank'!$C$5:$C$204,$A7+2,'Deadline Bank'!$G$5:$G$204,"&lt;&gt;Done")</x:f>
        <x:v>1</x:v>
      </x:c>
      <x:c r="O7" s="59" t="n">
        <x:f>COUNTIFS('Deadline Bank'!$C$5:$C$204,$A7+3,'Deadline Bank'!$G$5:$G$204,"&lt;&gt;Done")</x:f>
        <x:v>0</x:v>
      </x:c>
      <x:c r="P7" s="59" t="n">
        <x:f>COUNTIFS('Deadline Bank'!$C$5:$C$204,$A7+4,'Deadline Bank'!$G$5:$G$204,"&lt;&gt;Done")</x:f>
        <x:v>0</x:v>
      </x:c>
      <x:c r="Q7" s="59" t="n">
        <x:f>COUNTIFS('Deadline Bank'!$C$5:$C$204,$A7+5,'Deadline Bank'!$G$5:$G$204,"&lt;&gt;Done")</x:f>
        <x:v>0</x:v>
      </x:c>
      <x:c r="R7" s="59" t="n">
        <x:f>COUNTIFS('Deadline Bank'!$C$5:$C$204,$A7+6,'Deadline Bank'!$G$5:$G$204,"&lt;&gt;Done")</x:f>
        <x:v>0</x:v>
      </x:c>
      <x:c r="S7" s="59"/>
      <x:c r="T7" s="59"/>
      <x:c r="U7" s="59"/>
      <x:c r="V7" s="59"/>
      <x:c r="W7" s="59"/>
      <x:c r="X7" s="59"/>
      <x:c r="Y7" s="59"/>
      <x:c r="Z7" s="59"/>
    </x:row>
    <x:row r="8">
      <x:c r="A8" s="86" t="n">
        <x:v>46209</x:v>
      </x:c>
      <x:c r="B8" s="59" t="str">
        <x:f>TEXT(A8,"mmm d")&amp;"–"&amp;TEXT(A8+6,"mmm d")</x:f>
        <x:v>Jul 6–Jul 12</x:v>
      </x:c>
      <x:c r="C8" s="59" t="n">
        <x:f>COUNTIFS('Deadline Bank'!$H$5:$H$204,$A8,'Deadline Bank'!$G$5:$G$204,"&lt;&gt;Done")</x:f>
        <x:v>0</x:v>
      </x:c>
      <x:c r="D8" s="59" t="n">
        <x:f>SUMIFS('Deadline Bank'!$I$5:$I$204,'Deadline Bank'!$H$5:$H$204,$A8,'Deadline Bank'!$G$5:$G$204,"&lt;&gt;Done")</x:f>
        <x:v>0</x:v>
      </x:c>
      <x:c r="E8" s="59" t="n">
        <x:f>SUMIFS('Deadline Bank'!$E$5:$E$204,'Deadline Bank'!$H$5:$H$204,$A8,'Deadline Bank'!$G$5:$G$204,"&lt;&gt;Done")</x:f>
        <x:v>0</x:v>
      </x:c>
      <x:c r="F8" s="59" t="n">
        <x:f>COUNTIFS('Deadline Bank'!$H$5:$H$204,$A8,'Deadline Bank'!$F$5:$F$204,"Unclear",'Deadline Bank'!$G$5:$G$204,"&lt;&gt;Done")</x:f>
        <x:v>0</x:v>
      </x:c>
      <x:c r="G8" s="59" t="n">
        <x:f>IF(MAX(COUNTIFS('Deadline Bank'!$C$5:$C$204,"&gt;="&amp;$A8,'Deadline Bank'!$C$5:$C$204,"&lt;="&amp;$A8+2,'Deadline Bank'!$G$5:$G$204,"&lt;&gt;Done"),COUNTIFS('Deadline Bank'!$C$5:$C$204,"&gt;="&amp;$A8+1,'Deadline Bank'!$C$5:$C$204,"&lt;="&amp;$A8+3,'Deadline Bank'!$G$5:$G$204,"&lt;&gt;Done"),COUNTIFS('Deadline Bank'!$C$5:$C$204,"&gt;="&amp;$A8+2,'Deadline Bank'!$C$5:$C$204,"&lt;="&amp;$A8+4,'Deadline Bank'!$G$5:$G$204,"&lt;&gt;Done"),COUNTIFS('Deadline Bank'!$C$5:$C$204,"&gt;="&amp;$A8+3,'Deadline Bank'!$C$5:$C$204,"&lt;="&amp;$A8+5,'Deadline Bank'!$G$5:$G$204,"&lt;&gt;Done"),COUNTIFS('Deadline Bank'!$C$5:$C$204,"&gt;="&amp;$A8+4,'Deadline Bank'!$C$5:$C$204,"&lt;="&amp;$A8+6,'Deadline Bank'!$G$5:$G$204,"&lt;&gt;Done"))&gt;=3,3,IF(MAX(COUNTIFS('Deadline Bank'!$C$5:$C$204,"&gt;="&amp;$A8,'Deadline Bank'!$C$5:$C$204,"&lt;="&amp;$A8+1,'Deadline Bank'!$G$5:$G$204,"&lt;&gt;Done"),COUNTIFS('Deadline Bank'!$C$5:$C$204,"&gt;="&amp;$A8+1,'Deadline Bank'!$C$5:$C$204,"&lt;="&amp;$A8+2,'Deadline Bank'!$G$5:$G$204,"&lt;&gt;Done"),COUNTIFS('Deadline Bank'!$C$5:$C$204,"&gt;="&amp;$A8+2,'Deadline Bank'!$C$5:$C$204,"&lt;="&amp;$A8+3,'Deadline Bank'!$G$5:$G$204,"&lt;&gt;Done"),COUNTIFS('Deadline Bank'!$C$5:$C$204,"&gt;="&amp;$A8+3,'Deadline Bank'!$C$5:$C$204,"&lt;="&amp;$A8+4,'Deadline Bank'!$G$5:$G$204,"&lt;&gt;Done"),COUNTIFS('Deadline Bank'!$C$5:$C$204,"&gt;="&amp;$A8+4,'Deadline Bank'!$C$5:$C$204,"&lt;="&amp;$A8+5,'Deadline Bank'!$G$5:$G$204,"&lt;&gt;Done"),COUNTIFS('Deadline Bank'!$C$5:$C$204,"&gt;="&amp;$A8+5,'Deadline Bank'!$C$5:$C$204,"&lt;="&amp;$A8+6,'Deadline Bank'!$G$5:$G$204,"&lt;&gt;Done"))&gt;=2,2,0))</x:f>
        <x:v>0</x:v>
      </x:c>
      <x:c r="H8" s="59" t="n">
        <x:f>IF(E8&gt;=12,2,IF(E8&gt;=7,1,0))</x:f>
        <x:v>0</x:v>
      </x:c>
      <x:c r="I8" s="59" t="n">
        <x:f>MIN(2,F8)</x:f>
        <x:v>0</x:v>
      </x:c>
      <x:c r="J8" s="59" t="n">
        <x:f>D8+G8+H8+I8</x:f>
        <x:v>0</x:v>
      </x:c>
      <x:c r="K8" s="59" t="str">
        <x:f>IF(J8&gt;=9,"Red",IF(J8&gt;=5,"Yellow","Green"))</x:f>
        <x:v>Green</x:v>
      </x:c>
      <x:c r="L8" s="59" t="n">
        <x:f>COUNTIFS('Deadline Bank'!$C$5:$C$204,$A8+0,'Deadline Bank'!$G$5:$G$204,"&lt;&gt;Done")</x:f>
        <x:v>0</x:v>
      </x:c>
      <x:c r="M8" s="59" t="n">
        <x:f>COUNTIFS('Deadline Bank'!$C$5:$C$204,$A8+1,'Deadline Bank'!$G$5:$G$204,"&lt;&gt;Done")</x:f>
        <x:v>0</x:v>
      </x:c>
      <x:c r="N8" s="59" t="n">
        <x:f>COUNTIFS('Deadline Bank'!$C$5:$C$204,$A8+2,'Deadline Bank'!$G$5:$G$204,"&lt;&gt;Done")</x:f>
        <x:v>0</x:v>
      </x:c>
      <x:c r="O8" s="59" t="n">
        <x:f>COUNTIFS('Deadline Bank'!$C$5:$C$204,$A8+3,'Deadline Bank'!$G$5:$G$204,"&lt;&gt;Done")</x:f>
        <x:v>0</x:v>
      </x:c>
      <x:c r="P8" s="59" t="n">
        <x:f>COUNTIFS('Deadline Bank'!$C$5:$C$204,$A8+4,'Deadline Bank'!$G$5:$G$204,"&lt;&gt;Done")</x:f>
        <x:v>0</x:v>
      </x:c>
      <x:c r="Q8" s="59" t="n">
        <x:f>COUNTIFS('Deadline Bank'!$C$5:$C$204,$A8+5,'Deadline Bank'!$G$5:$G$204,"&lt;&gt;Done")</x:f>
        <x:v>0</x:v>
      </x:c>
      <x:c r="R8" s="59" t="n">
        <x:f>COUNTIFS('Deadline Bank'!$C$5:$C$204,$A8+6,'Deadline Bank'!$G$5:$G$204,"&lt;&gt;Done")</x:f>
        <x:v>0</x:v>
      </x:c>
      <x:c r="S8" s="59"/>
      <x:c r="T8" s="59"/>
      <x:c r="U8" s="59"/>
      <x:c r="V8" s="59"/>
      <x:c r="W8" s="59"/>
      <x:c r="X8" s="59"/>
      <x:c r="Y8" s="59"/>
      <x:c r="Z8" s="59"/>
    </x:row>
    <x:row r="9">
      <x:c r="A9" s="86" t="n">
        <x:v>46216</x:v>
      </x:c>
      <x:c r="B9" s="59" t="str">
        <x:f>TEXT(A9,"mmm d")&amp;"–"&amp;TEXT(A9+6,"mmm d")</x:f>
        <x:v>Jul 13–Jul 19</x:v>
      </x:c>
      <x:c r="C9" s="59" t="n">
        <x:f>COUNTIFS('Deadline Bank'!$H$5:$H$204,$A9,'Deadline Bank'!$G$5:$G$204,"&lt;&gt;Done")</x:f>
        <x:v>0</x:v>
      </x:c>
      <x:c r="D9" s="59" t="n">
        <x:f>SUMIFS('Deadline Bank'!$I$5:$I$204,'Deadline Bank'!$H$5:$H$204,$A9,'Deadline Bank'!$G$5:$G$204,"&lt;&gt;Done")</x:f>
        <x:v>0</x:v>
      </x:c>
      <x:c r="E9" s="59" t="n">
        <x:f>SUMIFS('Deadline Bank'!$E$5:$E$204,'Deadline Bank'!$H$5:$H$204,$A9,'Deadline Bank'!$G$5:$G$204,"&lt;&gt;Done")</x:f>
        <x:v>0</x:v>
      </x:c>
      <x:c r="F9" s="59" t="n">
        <x:f>COUNTIFS('Deadline Bank'!$H$5:$H$204,$A9,'Deadline Bank'!$F$5:$F$204,"Unclear",'Deadline Bank'!$G$5:$G$204,"&lt;&gt;Done")</x:f>
        <x:v>0</x:v>
      </x:c>
      <x:c r="G9" s="59" t="n">
        <x:f>IF(MAX(COUNTIFS('Deadline Bank'!$C$5:$C$204,"&gt;="&amp;$A9,'Deadline Bank'!$C$5:$C$204,"&lt;="&amp;$A9+2,'Deadline Bank'!$G$5:$G$204,"&lt;&gt;Done"),COUNTIFS('Deadline Bank'!$C$5:$C$204,"&gt;="&amp;$A9+1,'Deadline Bank'!$C$5:$C$204,"&lt;="&amp;$A9+3,'Deadline Bank'!$G$5:$G$204,"&lt;&gt;Done"),COUNTIFS('Deadline Bank'!$C$5:$C$204,"&gt;="&amp;$A9+2,'Deadline Bank'!$C$5:$C$204,"&lt;="&amp;$A9+4,'Deadline Bank'!$G$5:$G$204,"&lt;&gt;Done"),COUNTIFS('Deadline Bank'!$C$5:$C$204,"&gt;="&amp;$A9+3,'Deadline Bank'!$C$5:$C$204,"&lt;="&amp;$A9+5,'Deadline Bank'!$G$5:$G$204,"&lt;&gt;Done"),COUNTIFS('Deadline Bank'!$C$5:$C$204,"&gt;="&amp;$A9+4,'Deadline Bank'!$C$5:$C$204,"&lt;="&amp;$A9+6,'Deadline Bank'!$G$5:$G$204,"&lt;&gt;Done"))&gt;=3,3,IF(MAX(COUNTIFS('Deadline Bank'!$C$5:$C$204,"&gt;="&amp;$A9,'Deadline Bank'!$C$5:$C$204,"&lt;="&amp;$A9+1,'Deadline Bank'!$G$5:$G$204,"&lt;&gt;Done"),COUNTIFS('Deadline Bank'!$C$5:$C$204,"&gt;="&amp;$A9+1,'Deadline Bank'!$C$5:$C$204,"&lt;="&amp;$A9+2,'Deadline Bank'!$G$5:$G$204,"&lt;&gt;Done"),COUNTIFS('Deadline Bank'!$C$5:$C$204,"&gt;="&amp;$A9+2,'Deadline Bank'!$C$5:$C$204,"&lt;="&amp;$A9+3,'Deadline Bank'!$G$5:$G$204,"&lt;&gt;Done"),COUNTIFS('Deadline Bank'!$C$5:$C$204,"&gt;="&amp;$A9+3,'Deadline Bank'!$C$5:$C$204,"&lt;="&amp;$A9+4,'Deadline Bank'!$G$5:$G$204,"&lt;&gt;Done"),COUNTIFS('Deadline Bank'!$C$5:$C$204,"&gt;="&amp;$A9+4,'Deadline Bank'!$C$5:$C$204,"&lt;="&amp;$A9+5,'Deadline Bank'!$G$5:$G$204,"&lt;&gt;Done"),COUNTIFS('Deadline Bank'!$C$5:$C$204,"&gt;="&amp;$A9+5,'Deadline Bank'!$C$5:$C$204,"&lt;="&amp;$A9+6,'Deadline Bank'!$G$5:$G$204,"&lt;&gt;Done"))&gt;=2,2,0))</x:f>
        <x:v>0</x:v>
      </x:c>
      <x:c r="H9" s="59" t="n">
        <x:f>IF(E9&gt;=12,2,IF(E9&gt;=7,1,0))</x:f>
        <x:v>0</x:v>
      </x:c>
      <x:c r="I9" s="59" t="n">
        <x:f>MIN(2,F9)</x:f>
        <x:v>0</x:v>
      </x:c>
      <x:c r="J9" s="59" t="n">
        <x:f>D9+G9+H9+I9</x:f>
        <x:v>0</x:v>
      </x:c>
      <x:c r="K9" s="59" t="str">
        <x:f>IF(J9&gt;=9,"Red",IF(J9&gt;=5,"Yellow","Green"))</x:f>
        <x:v>Green</x:v>
      </x:c>
      <x:c r="L9" s="59" t="n">
        <x:f>COUNTIFS('Deadline Bank'!$C$5:$C$204,$A9+0,'Deadline Bank'!$G$5:$G$204,"&lt;&gt;Done")</x:f>
        <x:v>0</x:v>
      </x:c>
      <x:c r="M9" s="59" t="n">
        <x:f>COUNTIFS('Deadline Bank'!$C$5:$C$204,$A9+1,'Deadline Bank'!$G$5:$G$204,"&lt;&gt;Done")</x:f>
        <x:v>0</x:v>
      </x:c>
      <x:c r="N9" s="59" t="n">
        <x:f>COUNTIFS('Deadline Bank'!$C$5:$C$204,$A9+2,'Deadline Bank'!$G$5:$G$204,"&lt;&gt;Done")</x:f>
        <x:v>0</x:v>
      </x:c>
      <x:c r="O9" s="59" t="n">
        <x:f>COUNTIFS('Deadline Bank'!$C$5:$C$204,$A9+3,'Deadline Bank'!$G$5:$G$204,"&lt;&gt;Done")</x:f>
        <x:v>0</x:v>
      </x:c>
      <x:c r="P9" s="59" t="n">
        <x:f>COUNTIFS('Deadline Bank'!$C$5:$C$204,$A9+4,'Deadline Bank'!$G$5:$G$204,"&lt;&gt;Done")</x:f>
        <x:v>0</x:v>
      </x:c>
      <x:c r="Q9" s="59" t="n">
        <x:f>COUNTIFS('Deadline Bank'!$C$5:$C$204,$A9+5,'Deadline Bank'!$G$5:$G$204,"&lt;&gt;Done")</x:f>
        <x:v>0</x:v>
      </x:c>
      <x:c r="R9" s="59" t="n">
        <x:f>COUNTIFS('Deadline Bank'!$C$5:$C$204,$A9+6,'Deadline Bank'!$G$5:$G$204,"&lt;&gt;Done")</x:f>
        <x:v>0</x:v>
      </x:c>
      <x:c r="S9" s="59"/>
      <x:c r="T9" s="59"/>
      <x:c r="U9" s="59"/>
      <x:c r="V9" s="59"/>
      <x:c r="W9" s="59"/>
      <x:c r="X9" s="59"/>
      <x:c r="Y9" s="59"/>
      <x:c r="Z9" s="59"/>
    </x:row>
    <x:row r="10">
      <x:c r="A10" s="86" t="n">
        <x:v>46223</x:v>
      </x:c>
      <x:c r="B10" s="59" t="str">
        <x:f>TEXT(A10,"mmm d")&amp;"–"&amp;TEXT(A10+6,"mmm d")</x:f>
        <x:v>Jul 20–Jul 26</x:v>
      </x:c>
      <x:c r="C10" s="59" t="n">
        <x:f>COUNTIFS('Deadline Bank'!$H$5:$H$204,$A10,'Deadline Bank'!$G$5:$G$204,"&lt;&gt;Done")</x:f>
        <x:v>0</x:v>
      </x:c>
      <x:c r="D10" s="59" t="n">
        <x:f>SUMIFS('Deadline Bank'!$I$5:$I$204,'Deadline Bank'!$H$5:$H$204,$A10,'Deadline Bank'!$G$5:$G$204,"&lt;&gt;Done")</x:f>
        <x:v>0</x:v>
      </x:c>
      <x:c r="E10" s="59" t="n">
        <x:f>SUMIFS('Deadline Bank'!$E$5:$E$204,'Deadline Bank'!$H$5:$H$204,$A10,'Deadline Bank'!$G$5:$G$204,"&lt;&gt;Done")</x:f>
        <x:v>0</x:v>
      </x:c>
      <x:c r="F10" s="59" t="n">
        <x:f>COUNTIFS('Deadline Bank'!$H$5:$H$204,$A10,'Deadline Bank'!$F$5:$F$204,"Unclear",'Deadline Bank'!$G$5:$G$204,"&lt;&gt;Done")</x:f>
        <x:v>0</x:v>
      </x:c>
      <x:c r="G10" s="59" t="n">
        <x:f>IF(MAX(COUNTIFS('Deadline Bank'!$C$5:$C$204,"&gt;="&amp;$A10,'Deadline Bank'!$C$5:$C$204,"&lt;="&amp;$A10+2,'Deadline Bank'!$G$5:$G$204,"&lt;&gt;Done"),COUNTIFS('Deadline Bank'!$C$5:$C$204,"&gt;="&amp;$A10+1,'Deadline Bank'!$C$5:$C$204,"&lt;="&amp;$A10+3,'Deadline Bank'!$G$5:$G$204,"&lt;&gt;Done"),COUNTIFS('Deadline Bank'!$C$5:$C$204,"&gt;="&amp;$A10+2,'Deadline Bank'!$C$5:$C$204,"&lt;="&amp;$A10+4,'Deadline Bank'!$G$5:$G$204,"&lt;&gt;Done"),COUNTIFS('Deadline Bank'!$C$5:$C$204,"&gt;="&amp;$A10+3,'Deadline Bank'!$C$5:$C$204,"&lt;="&amp;$A10+5,'Deadline Bank'!$G$5:$G$204,"&lt;&gt;Done"),COUNTIFS('Deadline Bank'!$C$5:$C$204,"&gt;="&amp;$A10+4,'Deadline Bank'!$C$5:$C$204,"&lt;="&amp;$A10+6,'Deadline Bank'!$G$5:$G$204,"&lt;&gt;Done"))&gt;=3,3,IF(MAX(COUNTIFS('Deadline Bank'!$C$5:$C$204,"&gt;="&amp;$A10,'Deadline Bank'!$C$5:$C$204,"&lt;="&amp;$A10+1,'Deadline Bank'!$G$5:$G$204,"&lt;&gt;Done"),COUNTIFS('Deadline Bank'!$C$5:$C$204,"&gt;="&amp;$A10+1,'Deadline Bank'!$C$5:$C$204,"&lt;="&amp;$A10+2,'Deadline Bank'!$G$5:$G$204,"&lt;&gt;Done"),COUNTIFS('Deadline Bank'!$C$5:$C$204,"&gt;="&amp;$A10+2,'Deadline Bank'!$C$5:$C$204,"&lt;="&amp;$A10+3,'Deadline Bank'!$G$5:$G$204,"&lt;&gt;Done"),COUNTIFS('Deadline Bank'!$C$5:$C$204,"&gt;="&amp;$A10+3,'Deadline Bank'!$C$5:$C$204,"&lt;="&amp;$A10+4,'Deadline Bank'!$G$5:$G$204,"&lt;&gt;Done"),COUNTIFS('Deadline Bank'!$C$5:$C$204,"&gt;="&amp;$A10+4,'Deadline Bank'!$C$5:$C$204,"&lt;="&amp;$A10+5,'Deadline Bank'!$G$5:$G$204,"&lt;&gt;Done"),COUNTIFS('Deadline Bank'!$C$5:$C$204,"&gt;="&amp;$A10+5,'Deadline Bank'!$C$5:$C$204,"&lt;="&amp;$A10+6,'Deadline Bank'!$G$5:$G$204,"&lt;&gt;Done"))&gt;=2,2,0))</x:f>
        <x:v>0</x:v>
      </x:c>
      <x:c r="H10" s="59" t="n">
        <x:f>IF(E10&gt;=12,2,IF(E10&gt;=7,1,0))</x:f>
        <x:v>0</x:v>
      </x:c>
      <x:c r="I10" s="59" t="n">
        <x:f>MIN(2,F10)</x:f>
        <x:v>0</x:v>
      </x:c>
      <x:c r="J10" s="59" t="n">
        <x:f>D10+G10+H10+I10</x:f>
        <x:v>0</x:v>
      </x:c>
      <x:c r="K10" s="59" t="str">
        <x:f>IF(J10&gt;=9,"Red",IF(J10&gt;=5,"Yellow","Green"))</x:f>
        <x:v>Green</x:v>
      </x:c>
      <x:c r="L10" s="59" t="n">
        <x:f>COUNTIFS('Deadline Bank'!$C$5:$C$204,$A10+0,'Deadline Bank'!$G$5:$G$204,"&lt;&gt;Done")</x:f>
        <x:v>0</x:v>
      </x:c>
      <x:c r="M10" s="59" t="n">
        <x:f>COUNTIFS('Deadline Bank'!$C$5:$C$204,$A10+1,'Deadline Bank'!$G$5:$G$204,"&lt;&gt;Done")</x:f>
        <x:v>0</x:v>
      </x:c>
      <x:c r="N10" s="59" t="n">
        <x:f>COUNTIFS('Deadline Bank'!$C$5:$C$204,$A10+2,'Deadline Bank'!$G$5:$G$204,"&lt;&gt;Done")</x:f>
        <x:v>0</x:v>
      </x:c>
      <x:c r="O10" s="59" t="n">
        <x:f>COUNTIFS('Deadline Bank'!$C$5:$C$204,$A10+3,'Deadline Bank'!$G$5:$G$204,"&lt;&gt;Done")</x:f>
        <x:v>0</x:v>
      </x:c>
      <x:c r="P10" s="59" t="n">
        <x:f>COUNTIFS('Deadline Bank'!$C$5:$C$204,$A10+4,'Deadline Bank'!$G$5:$G$204,"&lt;&gt;Done")</x:f>
        <x:v>0</x:v>
      </x:c>
      <x:c r="Q10" s="59" t="n">
        <x:f>COUNTIFS('Deadline Bank'!$C$5:$C$204,$A10+5,'Deadline Bank'!$G$5:$G$204,"&lt;&gt;Done")</x:f>
        <x:v>0</x:v>
      </x:c>
      <x:c r="R10" s="59" t="n">
        <x:f>COUNTIFS('Deadline Bank'!$C$5:$C$204,$A10+6,'Deadline Bank'!$G$5:$G$204,"&lt;&gt;Done")</x:f>
        <x:v>0</x:v>
      </x:c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86" t="n">
        <x:v>46230</x:v>
      </x:c>
      <x:c r="B11" s="59" t="str">
        <x:f>TEXT(A11,"mmm d")&amp;"–"&amp;TEXT(A11+6,"mmm d")</x:f>
        <x:v>Jul 27–Aug 2</x:v>
      </x:c>
      <x:c r="C11" s="59" t="n">
        <x:f>COUNTIFS('Deadline Bank'!$H$5:$H$204,$A11,'Deadline Bank'!$G$5:$G$204,"&lt;&gt;Done")</x:f>
        <x:v>0</x:v>
      </x:c>
      <x:c r="D11" s="59" t="n">
        <x:f>SUMIFS('Deadline Bank'!$I$5:$I$204,'Deadline Bank'!$H$5:$H$204,$A11,'Deadline Bank'!$G$5:$G$204,"&lt;&gt;Done")</x:f>
        <x:v>0</x:v>
      </x:c>
      <x:c r="E11" s="59" t="n">
        <x:f>SUMIFS('Deadline Bank'!$E$5:$E$204,'Deadline Bank'!$H$5:$H$204,$A11,'Deadline Bank'!$G$5:$G$204,"&lt;&gt;Done")</x:f>
        <x:v>0</x:v>
      </x:c>
      <x:c r="F11" s="59" t="n">
        <x:f>COUNTIFS('Deadline Bank'!$H$5:$H$204,$A11,'Deadline Bank'!$F$5:$F$204,"Unclear",'Deadline Bank'!$G$5:$G$204,"&lt;&gt;Done")</x:f>
        <x:v>0</x:v>
      </x:c>
      <x:c r="G11" s="59" t="n">
        <x:f>IF(MAX(COUNTIFS('Deadline Bank'!$C$5:$C$204,"&gt;="&amp;$A11,'Deadline Bank'!$C$5:$C$204,"&lt;="&amp;$A11+2,'Deadline Bank'!$G$5:$G$204,"&lt;&gt;Done"),COUNTIFS('Deadline Bank'!$C$5:$C$204,"&gt;="&amp;$A11+1,'Deadline Bank'!$C$5:$C$204,"&lt;="&amp;$A11+3,'Deadline Bank'!$G$5:$G$204,"&lt;&gt;Done"),COUNTIFS('Deadline Bank'!$C$5:$C$204,"&gt;="&amp;$A11+2,'Deadline Bank'!$C$5:$C$204,"&lt;="&amp;$A11+4,'Deadline Bank'!$G$5:$G$204,"&lt;&gt;Done"),COUNTIFS('Deadline Bank'!$C$5:$C$204,"&gt;="&amp;$A11+3,'Deadline Bank'!$C$5:$C$204,"&lt;="&amp;$A11+5,'Deadline Bank'!$G$5:$G$204,"&lt;&gt;Done"),COUNTIFS('Deadline Bank'!$C$5:$C$204,"&gt;="&amp;$A11+4,'Deadline Bank'!$C$5:$C$204,"&lt;="&amp;$A11+6,'Deadline Bank'!$G$5:$G$204,"&lt;&gt;Done"))&gt;=3,3,IF(MAX(COUNTIFS('Deadline Bank'!$C$5:$C$204,"&gt;="&amp;$A11,'Deadline Bank'!$C$5:$C$204,"&lt;="&amp;$A11+1,'Deadline Bank'!$G$5:$G$204,"&lt;&gt;Done"),COUNTIFS('Deadline Bank'!$C$5:$C$204,"&gt;="&amp;$A11+1,'Deadline Bank'!$C$5:$C$204,"&lt;="&amp;$A11+2,'Deadline Bank'!$G$5:$G$204,"&lt;&gt;Done"),COUNTIFS('Deadline Bank'!$C$5:$C$204,"&gt;="&amp;$A11+2,'Deadline Bank'!$C$5:$C$204,"&lt;="&amp;$A11+3,'Deadline Bank'!$G$5:$G$204,"&lt;&gt;Done"),COUNTIFS('Deadline Bank'!$C$5:$C$204,"&gt;="&amp;$A11+3,'Deadline Bank'!$C$5:$C$204,"&lt;="&amp;$A11+4,'Deadline Bank'!$G$5:$G$204,"&lt;&gt;Done"),COUNTIFS('Deadline Bank'!$C$5:$C$204,"&gt;="&amp;$A11+4,'Deadline Bank'!$C$5:$C$204,"&lt;="&amp;$A11+5,'Deadline Bank'!$G$5:$G$204,"&lt;&gt;Done"),COUNTIFS('Deadline Bank'!$C$5:$C$204,"&gt;="&amp;$A11+5,'Deadline Bank'!$C$5:$C$204,"&lt;="&amp;$A11+6,'Deadline Bank'!$G$5:$G$204,"&lt;&gt;Done"))&gt;=2,2,0))</x:f>
        <x:v>0</x:v>
      </x:c>
      <x:c r="H11" s="59" t="n">
        <x:f>IF(E11&gt;=12,2,IF(E11&gt;=7,1,0))</x:f>
        <x:v>0</x:v>
      </x:c>
      <x:c r="I11" s="59" t="n">
        <x:f>MIN(2,F11)</x:f>
        <x:v>0</x:v>
      </x:c>
      <x:c r="J11" s="59" t="n">
        <x:f>D11+G11+H11+I11</x:f>
        <x:v>0</x:v>
      </x:c>
      <x:c r="K11" s="59" t="str">
        <x:f>IF(J11&gt;=9,"Red",IF(J11&gt;=5,"Yellow","Green"))</x:f>
        <x:v>Green</x:v>
      </x:c>
      <x:c r="L11" s="59" t="n">
        <x:f>COUNTIFS('Deadline Bank'!$C$5:$C$204,$A11+0,'Deadline Bank'!$G$5:$G$204,"&lt;&gt;Done")</x:f>
        <x:v>0</x:v>
      </x:c>
      <x:c r="M11" s="59" t="n">
        <x:f>COUNTIFS('Deadline Bank'!$C$5:$C$204,$A11+1,'Deadline Bank'!$G$5:$G$204,"&lt;&gt;Done")</x:f>
        <x:v>0</x:v>
      </x:c>
      <x:c r="N11" s="59" t="n">
        <x:f>COUNTIFS('Deadline Bank'!$C$5:$C$204,$A11+2,'Deadline Bank'!$G$5:$G$204,"&lt;&gt;Done")</x:f>
        <x:v>0</x:v>
      </x:c>
      <x:c r="O11" s="59" t="n">
        <x:f>COUNTIFS('Deadline Bank'!$C$5:$C$204,$A11+3,'Deadline Bank'!$G$5:$G$204,"&lt;&gt;Done")</x:f>
        <x:v>0</x:v>
      </x:c>
      <x:c r="P11" s="59" t="n">
        <x:f>COUNTIFS('Deadline Bank'!$C$5:$C$204,$A11+4,'Deadline Bank'!$G$5:$G$204,"&lt;&gt;Done")</x:f>
        <x:v>0</x:v>
      </x:c>
      <x:c r="Q11" s="59" t="n">
        <x:f>COUNTIFS('Deadline Bank'!$C$5:$C$204,$A11+5,'Deadline Bank'!$G$5:$G$204,"&lt;&gt;Done")</x:f>
        <x:v>0</x:v>
      </x:c>
      <x:c r="R11" s="59" t="n">
        <x:f>COUNTIFS('Deadline Bank'!$C$5:$C$204,$A11+6,'Deadline Bank'!$G$5:$G$204,"&lt;&gt;Done")</x:f>
        <x:v>0</x:v>
      </x:c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86" t="n">
        <x:v>46237</x:v>
      </x:c>
      <x:c r="B12" s="59" t="str">
        <x:f>TEXT(A12,"mmm d")&amp;"–"&amp;TEXT(A12+6,"mmm d")</x:f>
        <x:v>Aug 3–Aug 9</x:v>
      </x:c>
      <x:c r="C12" s="59" t="n">
        <x:f>COUNTIFS('Deadline Bank'!$H$5:$H$204,$A12,'Deadline Bank'!$G$5:$G$204,"&lt;&gt;Done")</x:f>
        <x:v>0</x:v>
      </x:c>
      <x:c r="D12" s="59" t="n">
        <x:f>SUMIFS('Deadline Bank'!$I$5:$I$204,'Deadline Bank'!$H$5:$H$204,$A12,'Deadline Bank'!$G$5:$G$204,"&lt;&gt;Done")</x:f>
        <x:v>0</x:v>
      </x:c>
      <x:c r="E12" s="59" t="n">
        <x:f>SUMIFS('Deadline Bank'!$E$5:$E$204,'Deadline Bank'!$H$5:$H$204,$A12,'Deadline Bank'!$G$5:$G$204,"&lt;&gt;Done")</x:f>
        <x:v>0</x:v>
      </x:c>
      <x:c r="F12" s="59" t="n">
        <x:f>COUNTIFS('Deadline Bank'!$H$5:$H$204,$A12,'Deadline Bank'!$F$5:$F$204,"Unclear",'Deadline Bank'!$G$5:$G$204,"&lt;&gt;Done")</x:f>
        <x:v>0</x:v>
      </x:c>
      <x:c r="G12" s="59" t="n">
        <x:f>IF(MAX(COUNTIFS('Deadline Bank'!$C$5:$C$204,"&gt;="&amp;$A12,'Deadline Bank'!$C$5:$C$204,"&lt;="&amp;$A12+2,'Deadline Bank'!$G$5:$G$204,"&lt;&gt;Done"),COUNTIFS('Deadline Bank'!$C$5:$C$204,"&gt;="&amp;$A12+1,'Deadline Bank'!$C$5:$C$204,"&lt;="&amp;$A12+3,'Deadline Bank'!$G$5:$G$204,"&lt;&gt;Done"),COUNTIFS('Deadline Bank'!$C$5:$C$204,"&gt;="&amp;$A12+2,'Deadline Bank'!$C$5:$C$204,"&lt;="&amp;$A12+4,'Deadline Bank'!$G$5:$G$204,"&lt;&gt;Done"),COUNTIFS('Deadline Bank'!$C$5:$C$204,"&gt;="&amp;$A12+3,'Deadline Bank'!$C$5:$C$204,"&lt;="&amp;$A12+5,'Deadline Bank'!$G$5:$G$204,"&lt;&gt;Done"),COUNTIFS('Deadline Bank'!$C$5:$C$204,"&gt;="&amp;$A12+4,'Deadline Bank'!$C$5:$C$204,"&lt;="&amp;$A12+6,'Deadline Bank'!$G$5:$G$204,"&lt;&gt;Done"))&gt;=3,3,IF(MAX(COUNTIFS('Deadline Bank'!$C$5:$C$204,"&gt;="&amp;$A12,'Deadline Bank'!$C$5:$C$204,"&lt;="&amp;$A12+1,'Deadline Bank'!$G$5:$G$204,"&lt;&gt;Done"),COUNTIFS('Deadline Bank'!$C$5:$C$204,"&gt;="&amp;$A12+1,'Deadline Bank'!$C$5:$C$204,"&lt;="&amp;$A12+2,'Deadline Bank'!$G$5:$G$204,"&lt;&gt;Done"),COUNTIFS('Deadline Bank'!$C$5:$C$204,"&gt;="&amp;$A12+2,'Deadline Bank'!$C$5:$C$204,"&lt;="&amp;$A12+3,'Deadline Bank'!$G$5:$G$204,"&lt;&gt;Done"),COUNTIFS('Deadline Bank'!$C$5:$C$204,"&gt;="&amp;$A12+3,'Deadline Bank'!$C$5:$C$204,"&lt;="&amp;$A12+4,'Deadline Bank'!$G$5:$G$204,"&lt;&gt;Done"),COUNTIFS('Deadline Bank'!$C$5:$C$204,"&gt;="&amp;$A12+4,'Deadline Bank'!$C$5:$C$204,"&lt;="&amp;$A12+5,'Deadline Bank'!$G$5:$G$204,"&lt;&gt;Done"),COUNTIFS('Deadline Bank'!$C$5:$C$204,"&gt;="&amp;$A12+5,'Deadline Bank'!$C$5:$C$204,"&lt;="&amp;$A12+6,'Deadline Bank'!$G$5:$G$204,"&lt;&gt;Done"))&gt;=2,2,0))</x:f>
        <x:v>0</x:v>
      </x:c>
      <x:c r="H12" s="59" t="n">
        <x:f>IF(E12&gt;=12,2,IF(E12&gt;=7,1,0))</x:f>
        <x:v>0</x:v>
      </x:c>
      <x:c r="I12" s="59" t="n">
        <x:f>MIN(2,F12)</x:f>
        <x:v>0</x:v>
      </x:c>
      <x:c r="J12" s="59" t="n">
        <x:f>D12+G12+H12+I12</x:f>
        <x:v>0</x:v>
      </x:c>
      <x:c r="K12" s="59" t="str">
        <x:f>IF(J12&gt;=9,"Red",IF(J12&gt;=5,"Yellow","Green"))</x:f>
        <x:v>Green</x:v>
      </x:c>
      <x:c r="L12" s="59" t="n">
        <x:f>COUNTIFS('Deadline Bank'!$C$5:$C$204,$A12+0,'Deadline Bank'!$G$5:$G$204,"&lt;&gt;Done")</x:f>
        <x:v>0</x:v>
      </x:c>
      <x:c r="M12" s="59" t="n">
        <x:f>COUNTIFS('Deadline Bank'!$C$5:$C$204,$A12+1,'Deadline Bank'!$G$5:$G$204,"&lt;&gt;Done")</x:f>
        <x:v>0</x:v>
      </x:c>
      <x:c r="N12" s="59" t="n">
        <x:f>COUNTIFS('Deadline Bank'!$C$5:$C$204,$A12+2,'Deadline Bank'!$G$5:$G$204,"&lt;&gt;Done")</x:f>
        <x:v>0</x:v>
      </x:c>
      <x:c r="O12" s="59" t="n">
        <x:f>COUNTIFS('Deadline Bank'!$C$5:$C$204,$A12+3,'Deadline Bank'!$G$5:$G$204,"&lt;&gt;Done")</x:f>
        <x:v>0</x:v>
      </x:c>
      <x:c r="P12" s="59" t="n">
        <x:f>COUNTIFS('Deadline Bank'!$C$5:$C$204,$A12+4,'Deadline Bank'!$G$5:$G$204,"&lt;&gt;Done")</x:f>
        <x:v>0</x:v>
      </x:c>
      <x:c r="Q12" s="59" t="n">
        <x:f>COUNTIFS('Deadline Bank'!$C$5:$C$204,$A12+5,'Deadline Bank'!$G$5:$G$204,"&lt;&gt;Done")</x:f>
        <x:v>0</x:v>
      </x:c>
      <x:c r="R12" s="59" t="n">
        <x:f>COUNTIFS('Deadline Bank'!$C$5:$C$204,$A12+6,'Deadline Bank'!$G$5:$G$204,"&lt;&gt;Done")</x:f>
        <x:v>0</x:v>
      </x:c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86" t="n">
        <x:v>46244</x:v>
      </x:c>
      <x:c r="B13" s="59" t="str">
        <x:f>TEXT(A13,"mmm d")&amp;"–"&amp;TEXT(A13+6,"mmm d")</x:f>
        <x:v>Aug 10–Aug 16</x:v>
      </x:c>
      <x:c r="C13" s="59" t="n">
        <x:f>COUNTIFS('Deadline Bank'!$H$5:$H$204,$A13,'Deadline Bank'!$G$5:$G$204,"&lt;&gt;Done")</x:f>
        <x:v>0</x:v>
      </x:c>
      <x:c r="D13" s="59" t="n">
        <x:f>SUMIFS('Deadline Bank'!$I$5:$I$204,'Deadline Bank'!$H$5:$H$204,$A13,'Deadline Bank'!$G$5:$G$204,"&lt;&gt;Done")</x:f>
        <x:v>0</x:v>
      </x:c>
      <x:c r="E13" s="59" t="n">
        <x:f>SUMIFS('Deadline Bank'!$E$5:$E$204,'Deadline Bank'!$H$5:$H$204,$A13,'Deadline Bank'!$G$5:$G$204,"&lt;&gt;Done")</x:f>
        <x:v>0</x:v>
      </x:c>
      <x:c r="F13" s="59" t="n">
        <x:f>COUNTIFS('Deadline Bank'!$H$5:$H$204,$A13,'Deadline Bank'!$F$5:$F$204,"Unclear",'Deadline Bank'!$G$5:$G$204,"&lt;&gt;Done")</x:f>
        <x:v>0</x:v>
      </x:c>
      <x:c r="G13" s="59" t="n">
        <x:f>IF(MAX(COUNTIFS('Deadline Bank'!$C$5:$C$204,"&gt;="&amp;$A13,'Deadline Bank'!$C$5:$C$204,"&lt;="&amp;$A13+2,'Deadline Bank'!$G$5:$G$204,"&lt;&gt;Done"),COUNTIFS('Deadline Bank'!$C$5:$C$204,"&gt;="&amp;$A13+1,'Deadline Bank'!$C$5:$C$204,"&lt;="&amp;$A13+3,'Deadline Bank'!$G$5:$G$204,"&lt;&gt;Done"),COUNTIFS('Deadline Bank'!$C$5:$C$204,"&gt;="&amp;$A13+2,'Deadline Bank'!$C$5:$C$204,"&lt;="&amp;$A13+4,'Deadline Bank'!$G$5:$G$204,"&lt;&gt;Done"),COUNTIFS('Deadline Bank'!$C$5:$C$204,"&gt;="&amp;$A13+3,'Deadline Bank'!$C$5:$C$204,"&lt;="&amp;$A13+5,'Deadline Bank'!$G$5:$G$204,"&lt;&gt;Done"),COUNTIFS('Deadline Bank'!$C$5:$C$204,"&gt;="&amp;$A13+4,'Deadline Bank'!$C$5:$C$204,"&lt;="&amp;$A13+6,'Deadline Bank'!$G$5:$G$204,"&lt;&gt;Done"))&gt;=3,3,IF(MAX(COUNTIFS('Deadline Bank'!$C$5:$C$204,"&gt;="&amp;$A13,'Deadline Bank'!$C$5:$C$204,"&lt;="&amp;$A13+1,'Deadline Bank'!$G$5:$G$204,"&lt;&gt;Done"),COUNTIFS('Deadline Bank'!$C$5:$C$204,"&gt;="&amp;$A13+1,'Deadline Bank'!$C$5:$C$204,"&lt;="&amp;$A13+2,'Deadline Bank'!$G$5:$G$204,"&lt;&gt;Done"),COUNTIFS('Deadline Bank'!$C$5:$C$204,"&gt;="&amp;$A13+2,'Deadline Bank'!$C$5:$C$204,"&lt;="&amp;$A13+3,'Deadline Bank'!$G$5:$G$204,"&lt;&gt;Done"),COUNTIFS('Deadline Bank'!$C$5:$C$204,"&gt;="&amp;$A13+3,'Deadline Bank'!$C$5:$C$204,"&lt;="&amp;$A13+4,'Deadline Bank'!$G$5:$G$204,"&lt;&gt;Done"),COUNTIFS('Deadline Bank'!$C$5:$C$204,"&gt;="&amp;$A13+4,'Deadline Bank'!$C$5:$C$204,"&lt;="&amp;$A13+5,'Deadline Bank'!$G$5:$G$204,"&lt;&gt;Done"),COUNTIFS('Deadline Bank'!$C$5:$C$204,"&gt;="&amp;$A13+5,'Deadline Bank'!$C$5:$C$204,"&lt;="&amp;$A13+6,'Deadline Bank'!$G$5:$G$204,"&lt;&gt;Done"))&gt;=2,2,0))</x:f>
        <x:v>0</x:v>
      </x:c>
      <x:c r="H13" s="59" t="n">
        <x:f>IF(E13&gt;=12,2,IF(E13&gt;=7,1,0))</x:f>
        <x:v>0</x:v>
      </x:c>
      <x:c r="I13" s="59" t="n">
        <x:f>MIN(2,F13)</x:f>
        <x:v>0</x:v>
      </x:c>
      <x:c r="J13" s="59" t="n">
        <x:f>D13+G13+H13+I13</x:f>
        <x:v>0</x:v>
      </x:c>
      <x:c r="K13" s="59" t="str">
        <x:f>IF(J13&gt;=9,"Red",IF(J13&gt;=5,"Yellow","Green"))</x:f>
        <x:v>Green</x:v>
      </x:c>
      <x:c r="L13" s="59" t="n">
        <x:f>COUNTIFS('Deadline Bank'!$C$5:$C$204,$A13+0,'Deadline Bank'!$G$5:$G$204,"&lt;&gt;Done")</x:f>
        <x:v>0</x:v>
      </x:c>
      <x:c r="M13" s="59" t="n">
        <x:f>COUNTIFS('Deadline Bank'!$C$5:$C$204,$A13+1,'Deadline Bank'!$G$5:$G$204,"&lt;&gt;Done")</x:f>
        <x:v>0</x:v>
      </x:c>
      <x:c r="N13" s="59" t="n">
        <x:f>COUNTIFS('Deadline Bank'!$C$5:$C$204,$A13+2,'Deadline Bank'!$G$5:$G$204,"&lt;&gt;Done")</x:f>
        <x:v>0</x:v>
      </x:c>
      <x:c r="O13" s="59" t="n">
        <x:f>COUNTIFS('Deadline Bank'!$C$5:$C$204,$A13+3,'Deadline Bank'!$G$5:$G$204,"&lt;&gt;Done")</x:f>
        <x:v>0</x:v>
      </x:c>
      <x:c r="P13" s="59" t="n">
        <x:f>COUNTIFS('Deadline Bank'!$C$5:$C$204,$A13+4,'Deadline Bank'!$G$5:$G$204,"&lt;&gt;Done")</x:f>
        <x:v>0</x:v>
      </x:c>
      <x:c r="Q13" s="59" t="n">
        <x:f>COUNTIFS('Deadline Bank'!$C$5:$C$204,$A13+5,'Deadline Bank'!$G$5:$G$204,"&lt;&gt;Done")</x:f>
        <x:v>0</x:v>
      </x:c>
      <x:c r="R13" s="59" t="n">
        <x:f>COUNTIFS('Deadline Bank'!$C$5:$C$204,$A13+6,'Deadline Bank'!$G$5:$G$204,"&lt;&gt;Done")</x:f>
        <x:v>0</x:v>
      </x:c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86" t="n">
        <x:v>46251</x:v>
      </x:c>
      <x:c r="B14" s="59" t="str">
        <x:f>TEXT(A14,"mmm d")&amp;"–"&amp;TEXT(A14+6,"mmm d")</x:f>
        <x:v>Aug 17–Aug 23</x:v>
      </x:c>
      <x:c r="C14" s="59" t="n">
        <x:f>COUNTIFS('Deadline Bank'!$H$5:$H$204,$A14,'Deadline Bank'!$G$5:$G$204,"&lt;&gt;Done")</x:f>
        <x:v>0</x:v>
      </x:c>
      <x:c r="D14" s="59" t="n">
        <x:f>SUMIFS('Deadline Bank'!$I$5:$I$204,'Deadline Bank'!$H$5:$H$204,$A14,'Deadline Bank'!$G$5:$G$204,"&lt;&gt;Done")</x:f>
        <x:v>0</x:v>
      </x:c>
      <x:c r="E14" s="59" t="n">
        <x:f>SUMIFS('Deadline Bank'!$E$5:$E$204,'Deadline Bank'!$H$5:$H$204,$A14,'Deadline Bank'!$G$5:$G$204,"&lt;&gt;Done")</x:f>
        <x:v>0</x:v>
      </x:c>
      <x:c r="F14" s="59" t="n">
        <x:f>COUNTIFS('Deadline Bank'!$H$5:$H$204,$A14,'Deadline Bank'!$F$5:$F$204,"Unclear",'Deadline Bank'!$G$5:$G$204,"&lt;&gt;Done")</x:f>
        <x:v>0</x:v>
      </x:c>
      <x:c r="G14" s="59" t="n">
        <x:f>IF(MAX(COUNTIFS('Deadline Bank'!$C$5:$C$204,"&gt;="&amp;$A14,'Deadline Bank'!$C$5:$C$204,"&lt;="&amp;$A14+2,'Deadline Bank'!$G$5:$G$204,"&lt;&gt;Done"),COUNTIFS('Deadline Bank'!$C$5:$C$204,"&gt;="&amp;$A14+1,'Deadline Bank'!$C$5:$C$204,"&lt;="&amp;$A14+3,'Deadline Bank'!$G$5:$G$204,"&lt;&gt;Done"),COUNTIFS('Deadline Bank'!$C$5:$C$204,"&gt;="&amp;$A14+2,'Deadline Bank'!$C$5:$C$204,"&lt;="&amp;$A14+4,'Deadline Bank'!$G$5:$G$204,"&lt;&gt;Done"),COUNTIFS('Deadline Bank'!$C$5:$C$204,"&gt;="&amp;$A14+3,'Deadline Bank'!$C$5:$C$204,"&lt;="&amp;$A14+5,'Deadline Bank'!$G$5:$G$204,"&lt;&gt;Done"),COUNTIFS('Deadline Bank'!$C$5:$C$204,"&gt;="&amp;$A14+4,'Deadline Bank'!$C$5:$C$204,"&lt;="&amp;$A14+6,'Deadline Bank'!$G$5:$G$204,"&lt;&gt;Done"))&gt;=3,3,IF(MAX(COUNTIFS('Deadline Bank'!$C$5:$C$204,"&gt;="&amp;$A14,'Deadline Bank'!$C$5:$C$204,"&lt;="&amp;$A14+1,'Deadline Bank'!$G$5:$G$204,"&lt;&gt;Done"),COUNTIFS('Deadline Bank'!$C$5:$C$204,"&gt;="&amp;$A14+1,'Deadline Bank'!$C$5:$C$204,"&lt;="&amp;$A14+2,'Deadline Bank'!$G$5:$G$204,"&lt;&gt;Done"),COUNTIFS('Deadline Bank'!$C$5:$C$204,"&gt;="&amp;$A14+2,'Deadline Bank'!$C$5:$C$204,"&lt;="&amp;$A14+3,'Deadline Bank'!$G$5:$G$204,"&lt;&gt;Done"),COUNTIFS('Deadline Bank'!$C$5:$C$204,"&gt;="&amp;$A14+3,'Deadline Bank'!$C$5:$C$204,"&lt;="&amp;$A14+4,'Deadline Bank'!$G$5:$G$204,"&lt;&gt;Done"),COUNTIFS('Deadline Bank'!$C$5:$C$204,"&gt;="&amp;$A14+4,'Deadline Bank'!$C$5:$C$204,"&lt;="&amp;$A14+5,'Deadline Bank'!$G$5:$G$204,"&lt;&gt;Done"),COUNTIFS('Deadline Bank'!$C$5:$C$204,"&gt;="&amp;$A14+5,'Deadline Bank'!$C$5:$C$204,"&lt;="&amp;$A14+6,'Deadline Bank'!$G$5:$G$204,"&lt;&gt;Done"))&gt;=2,2,0))</x:f>
        <x:v>0</x:v>
      </x:c>
      <x:c r="H14" s="59" t="n">
        <x:f>IF(E14&gt;=12,2,IF(E14&gt;=7,1,0))</x:f>
        <x:v>0</x:v>
      </x:c>
      <x:c r="I14" s="59" t="n">
        <x:f>MIN(2,F14)</x:f>
        <x:v>0</x:v>
      </x:c>
      <x:c r="J14" s="59" t="n">
        <x:f>D14+G14+H14+I14</x:f>
        <x:v>0</x:v>
      </x:c>
      <x:c r="K14" s="59" t="str">
        <x:f>IF(J14&gt;=9,"Red",IF(J14&gt;=5,"Yellow","Green"))</x:f>
        <x:v>Green</x:v>
      </x:c>
      <x:c r="L14" s="59" t="n">
        <x:f>COUNTIFS('Deadline Bank'!$C$5:$C$204,$A14+0,'Deadline Bank'!$G$5:$G$204,"&lt;&gt;Done")</x:f>
        <x:v>0</x:v>
      </x:c>
      <x:c r="M14" s="59" t="n">
        <x:f>COUNTIFS('Deadline Bank'!$C$5:$C$204,$A14+1,'Deadline Bank'!$G$5:$G$204,"&lt;&gt;Done")</x:f>
        <x:v>0</x:v>
      </x:c>
      <x:c r="N14" s="59" t="n">
        <x:f>COUNTIFS('Deadline Bank'!$C$5:$C$204,$A14+2,'Deadline Bank'!$G$5:$G$204,"&lt;&gt;Done")</x:f>
        <x:v>0</x:v>
      </x:c>
      <x:c r="O14" s="59" t="n">
        <x:f>COUNTIFS('Deadline Bank'!$C$5:$C$204,$A14+3,'Deadline Bank'!$G$5:$G$204,"&lt;&gt;Done")</x:f>
        <x:v>0</x:v>
      </x:c>
      <x:c r="P14" s="59" t="n">
        <x:f>COUNTIFS('Deadline Bank'!$C$5:$C$204,$A14+4,'Deadline Bank'!$G$5:$G$204,"&lt;&gt;Done")</x:f>
        <x:v>0</x:v>
      </x:c>
      <x:c r="Q14" s="59" t="n">
        <x:f>COUNTIFS('Deadline Bank'!$C$5:$C$204,$A14+5,'Deadline Bank'!$G$5:$G$204,"&lt;&gt;Done")</x:f>
        <x:v>0</x:v>
      </x:c>
      <x:c r="R14" s="59" t="n">
        <x:f>COUNTIFS('Deadline Bank'!$C$5:$C$204,$A14+6,'Deadline Bank'!$G$5:$G$204,"&lt;&gt;Done")</x:f>
        <x:v>0</x:v>
      </x:c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86" t="n">
        <x:v>46258</x:v>
      </x:c>
      <x:c r="B15" s="59" t="str">
        <x:f>TEXT(A15,"mmm d")&amp;"–"&amp;TEXT(A15+6,"mmm d")</x:f>
        <x:v>Aug 24–Aug 30</x:v>
      </x:c>
      <x:c r="C15" s="59" t="n">
        <x:f>COUNTIFS('Deadline Bank'!$H$5:$H$204,$A15,'Deadline Bank'!$G$5:$G$204,"&lt;&gt;Done")</x:f>
        <x:v>0</x:v>
      </x:c>
      <x:c r="D15" s="59" t="n">
        <x:f>SUMIFS('Deadline Bank'!$I$5:$I$204,'Deadline Bank'!$H$5:$H$204,$A15,'Deadline Bank'!$G$5:$G$204,"&lt;&gt;Done")</x:f>
        <x:v>0</x:v>
      </x:c>
      <x:c r="E15" s="59" t="n">
        <x:f>SUMIFS('Deadline Bank'!$E$5:$E$204,'Deadline Bank'!$H$5:$H$204,$A15,'Deadline Bank'!$G$5:$G$204,"&lt;&gt;Done")</x:f>
        <x:v>0</x:v>
      </x:c>
      <x:c r="F15" s="59" t="n">
        <x:f>COUNTIFS('Deadline Bank'!$H$5:$H$204,$A15,'Deadline Bank'!$F$5:$F$204,"Unclear",'Deadline Bank'!$G$5:$G$204,"&lt;&gt;Done")</x:f>
        <x:v>0</x:v>
      </x:c>
      <x:c r="G15" s="59" t="n">
        <x:f>IF(MAX(COUNTIFS('Deadline Bank'!$C$5:$C$204,"&gt;="&amp;$A15,'Deadline Bank'!$C$5:$C$204,"&lt;="&amp;$A15+2,'Deadline Bank'!$G$5:$G$204,"&lt;&gt;Done"),COUNTIFS('Deadline Bank'!$C$5:$C$204,"&gt;="&amp;$A15+1,'Deadline Bank'!$C$5:$C$204,"&lt;="&amp;$A15+3,'Deadline Bank'!$G$5:$G$204,"&lt;&gt;Done"),COUNTIFS('Deadline Bank'!$C$5:$C$204,"&gt;="&amp;$A15+2,'Deadline Bank'!$C$5:$C$204,"&lt;="&amp;$A15+4,'Deadline Bank'!$G$5:$G$204,"&lt;&gt;Done"),COUNTIFS('Deadline Bank'!$C$5:$C$204,"&gt;="&amp;$A15+3,'Deadline Bank'!$C$5:$C$204,"&lt;="&amp;$A15+5,'Deadline Bank'!$G$5:$G$204,"&lt;&gt;Done"),COUNTIFS('Deadline Bank'!$C$5:$C$204,"&gt;="&amp;$A15+4,'Deadline Bank'!$C$5:$C$204,"&lt;="&amp;$A15+6,'Deadline Bank'!$G$5:$G$204,"&lt;&gt;Done"))&gt;=3,3,IF(MAX(COUNTIFS('Deadline Bank'!$C$5:$C$204,"&gt;="&amp;$A15,'Deadline Bank'!$C$5:$C$204,"&lt;="&amp;$A15+1,'Deadline Bank'!$G$5:$G$204,"&lt;&gt;Done"),COUNTIFS('Deadline Bank'!$C$5:$C$204,"&gt;="&amp;$A15+1,'Deadline Bank'!$C$5:$C$204,"&lt;="&amp;$A15+2,'Deadline Bank'!$G$5:$G$204,"&lt;&gt;Done"),COUNTIFS('Deadline Bank'!$C$5:$C$204,"&gt;="&amp;$A15+2,'Deadline Bank'!$C$5:$C$204,"&lt;="&amp;$A15+3,'Deadline Bank'!$G$5:$G$204,"&lt;&gt;Done"),COUNTIFS('Deadline Bank'!$C$5:$C$204,"&gt;="&amp;$A15+3,'Deadline Bank'!$C$5:$C$204,"&lt;="&amp;$A15+4,'Deadline Bank'!$G$5:$G$204,"&lt;&gt;Done"),COUNTIFS('Deadline Bank'!$C$5:$C$204,"&gt;="&amp;$A15+4,'Deadline Bank'!$C$5:$C$204,"&lt;="&amp;$A15+5,'Deadline Bank'!$G$5:$G$204,"&lt;&gt;Done"),COUNTIFS('Deadline Bank'!$C$5:$C$204,"&gt;="&amp;$A15+5,'Deadline Bank'!$C$5:$C$204,"&lt;="&amp;$A15+6,'Deadline Bank'!$G$5:$G$204,"&lt;&gt;Done"))&gt;=2,2,0))</x:f>
        <x:v>0</x:v>
      </x:c>
      <x:c r="H15" s="59" t="n">
        <x:f>IF(E15&gt;=12,2,IF(E15&gt;=7,1,0))</x:f>
        <x:v>0</x:v>
      </x:c>
      <x:c r="I15" s="59" t="n">
        <x:f>MIN(2,F15)</x:f>
        <x:v>0</x:v>
      </x:c>
      <x:c r="J15" s="59" t="n">
        <x:f>D15+G15+H15+I15</x:f>
        <x:v>0</x:v>
      </x:c>
      <x:c r="K15" s="59" t="str">
        <x:f>IF(J15&gt;=9,"Red",IF(J15&gt;=5,"Yellow","Green"))</x:f>
        <x:v>Green</x:v>
      </x:c>
      <x:c r="L15" s="59" t="n">
        <x:f>COUNTIFS('Deadline Bank'!$C$5:$C$204,$A15+0,'Deadline Bank'!$G$5:$G$204,"&lt;&gt;Done")</x:f>
        <x:v>0</x:v>
      </x:c>
      <x:c r="M15" s="59" t="n">
        <x:f>COUNTIFS('Deadline Bank'!$C$5:$C$204,$A15+1,'Deadline Bank'!$G$5:$G$204,"&lt;&gt;Done")</x:f>
        <x:v>0</x:v>
      </x:c>
      <x:c r="N15" s="59" t="n">
        <x:f>COUNTIFS('Deadline Bank'!$C$5:$C$204,$A15+2,'Deadline Bank'!$G$5:$G$204,"&lt;&gt;Done")</x:f>
        <x:v>0</x:v>
      </x:c>
      <x:c r="O15" s="59" t="n">
        <x:f>COUNTIFS('Deadline Bank'!$C$5:$C$204,$A15+3,'Deadline Bank'!$G$5:$G$204,"&lt;&gt;Done")</x:f>
        <x:v>0</x:v>
      </x:c>
      <x:c r="P15" s="59" t="n">
        <x:f>COUNTIFS('Deadline Bank'!$C$5:$C$204,$A15+4,'Deadline Bank'!$G$5:$G$204,"&lt;&gt;Done")</x:f>
        <x:v>0</x:v>
      </x:c>
      <x:c r="Q15" s="59" t="n">
        <x:f>COUNTIFS('Deadline Bank'!$C$5:$C$204,$A15+5,'Deadline Bank'!$G$5:$G$204,"&lt;&gt;Done")</x:f>
        <x:v>0</x:v>
      </x:c>
      <x:c r="R15" s="59" t="n">
        <x:f>COUNTIFS('Deadline Bank'!$C$5:$C$204,$A15+6,'Deadline Bank'!$G$5:$G$204,"&lt;&gt;Done")</x:f>
        <x:v>0</x:v>
      </x:c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86" t="n">
        <x:v>46265</x:v>
      </x:c>
      <x:c r="B16" s="59" t="str">
        <x:f>TEXT(A16,"mmm d")&amp;"–"&amp;TEXT(A16+6,"mmm d")</x:f>
        <x:v>Aug 31–Sep 6</x:v>
      </x:c>
      <x:c r="C16" s="59" t="n">
        <x:f>COUNTIFS('Deadline Bank'!$H$5:$H$204,$A16,'Deadline Bank'!$G$5:$G$204,"&lt;&gt;Done")</x:f>
        <x:v>0</x:v>
      </x:c>
      <x:c r="D16" s="59" t="n">
        <x:f>SUMIFS('Deadline Bank'!$I$5:$I$204,'Deadline Bank'!$H$5:$H$204,$A16,'Deadline Bank'!$G$5:$G$204,"&lt;&gt;Done")</x:f>
        <x:v>0</x:v>
      </x:c>
      <x:c r="E16" s="59" t="n">
        <x:f>SUMIFS('Deadline Bank'!$E$5:$E$204,'Deadline Bank'!$H$5:$H$204,$A16,'Deadline Bank'!$G$5:$G$204,"&lt;&gt;Done")</x:f>
        <x:v>0</x:v>
      </x:c>
      <x:c r="F16" s="59" t="n">
        <x:f>COUNTIFS('Deadline Bank'!$H$5:$H$204,$A16,'Deadline Bank'!$F$5:$F$204,"Unclear",'Deadline Bank'!$G$5:$G$204,"&lt;&gt;Done")</x:f>
        <x:v>0</x:v>
      </x:c>
      <x:c r="G16" s="59" t="n">
        <x:f>IF(MAX(COUNTIFS('Deadline Bank'!$C$5:$C$204,"&gt;="&amp;$A16,'Deadline Bank'!$C$5:$C$204,"&lt;="&amp;$A16+2,'Deadline Bank'!$G$5:$G$204,"&lt;&gt;Done"),COUNTIFS('Deadline Bank'!$C$5:$C$204,"&gt;="&amp;$A16+1,'Deadline Bank'!$C$5:$C$204,"&lt;="&amp;$A16+3,'Deadline Bank'!$G$5:$G$204,"&lt;&gt;Done"),COUNTIFS('Deadline Bank'!$C$5:$C$204,"&gt;="&amp;$A16+2,'Deadline Bank'!$C$5:$C$204,"&lt;="&amp;$A16+4,'Deadline Bank'!$G$5:$G$204,"&lt;&gt;Done"),COUNTIFS('Deadline Bank'!$C$5:$C$204,"&gt;="&amp;$A16+3,'Deadline Bank'!$C$5:$C$204,"&lt;="&amp;$A16+5,'Deadline Bank'!$G$5:$G$204,"&lt;&gt;Done"),COUNTIFS('Deadline Bank'!$C$5:$C$204,"&gt;="&amp;$A16+4,'Deadline Bank'!$C$5:$C$204,"&lt;="&amp;$A16+6,'Deadline Bank'!$G$5:$G$204,"&lt;&gt;Done"))&gt;=3,3,IF(MAX(COUNTIFS('Deadline Bank'!$C$5:$C$204,"&gt;="&amp;$A16,'Deadline Bank'!$C$5:$C$204,"&lt;="&amp;$A16+1,'Deadline Bank'!$G$5:$G$204,"&lt;&gt;Done"),COUNTIFS('Deadline Bank'!$C$5:$C$204,"&gt;="&amp;$A16+1,'Deadline Bank'!$C$5:$C$204,"&lt;="&amp;$A16+2,'Deadline Bank'!$G$5:$G$204,"&lt;&gt;Done"),COUNTIFS('Deadline Bank'!$C$5:$C$204,"&gt;="&amp;$A16+2,'Deadline Bank'!$C$5:$C$204,"&lt;="&amp;$A16+3,'Deadline Bank'!$G$5:$G$204,"&lt;&gt;Done"),COUNTIFS('Deadline Bank'!$C$5:$C$204,"&gt;="&amp;$A16+3,'Deadline Bank'!$C$5:$C$204,"&lt;="&amp;$A16+4,'Deadline Bank'!$G$5:$G$204,"&lt;&gt;Done"),COUNTIFS('Deadline Bank'!$C$5:$C$204,"&gt;="&amp;$A16+4,'Deadline Bank'!$C$5:$C$204,"&lt;="&amp;$A16+5,'Deadline Bank'!$G$5:$G$204,"&lt;&gt;Done"),COUNTIFS('Deadline Bank'!$C$5:$C$204,"&gt;="&amp;$A16+5,'Deadline Bank'!$C$5:$C$204,"&lt;="&amp;$A16+6,'Deadline Bank'!$G$5:$G$204,"&lt;&gt;Done"))&gt;=2,2,0))</x:f>
        <x:v>0</x:v>
      </x:c>
      <x:c r="H16" s="59" t="n">
        <x:f>IF(E16&gt;=12,2,IF(E16&gt;=7,1,0))</x:f>
        <x:v>0</x:v>
      </x:c>
      <x:c r="I16" s="59" t="n">
        <x:f>MIN(2,F16)</x:f>
        <x:v>0</x:v>
      </x:c>
      <x:c r="J16" s="59" t="n">
        <x:f>D16+G16+H16+I16</x:f>
        <x:v>0</x:v>
      </x:c>
      <x:c r="K16" s="59" t="str">
        <x:f>IF(J16&gt;=9,"Red",IF(J16&gt;=5,"Yellow","Green"))</x:f>
        <x:v>Green</x:v>
      </x:c>
      <x:c r="L16" s="59" t="n">
        <x:f>COUNTIFS('Deadline Bank'!$C$5:$C$204,$A16+0,'Deadline Bank'!$G$5:$G$204,"&lt;&gt;Done")</x:f>
        <x:v>0</x:v>
      </x:c>
      <x:c r="M16" s="59" t="n">
        <x:f>COUNTIFS('Deadline Bank'!$C$5:$C$204,$A16+1,'Deadline Bank'!$G$5:$G$204,"&lt;&gt;Done")</x:f>
        <x:v>0</x:v>
      </x:c>
      <x:c r="N16" s="59" t="n">
        <x:f>COUNTIFS('Deadline Bank'!$C$5:$C$204,$A16+2,'Deadline Bank'!$G$5:$G$204,"&lt;&gt;Done")</x:f>
        <x:v>0</x:v>
      </x:c>
      <x:c r="O16" s="59" t="n">
        <x:f>COUNTIFS('Deadline Bank'!$C$5:$C$204,$A16+3,'Deadline Bank'!$G$5:$G$204,"&lt;&gt;Done")</x:f>
        <x:v>0</x:v>
      </x:c>
      <x:c r="P16" s="59" t="n">
        <x:f>COUNTIFS('Deadline Bank'!$C$5:$C$204,$A16+4,'Deadline Bank'!$G$5:$G$204,"&lt;&gt;Done")</x:f>
        <x:v>0</x:v>
      </x:c>
      <x:c r="Q16" s="59" t="n">
        <x:f>COUNTIFS('Deadline Bank'!$C$5:$C$204,$A16+5,'Deadline Bank'!$G$5:$G$204,"&lt;&gt;Done")</x:f>
        <x:v>0</x:v>
      </x:c>
      <x:c r="R16" s="59" t="n">
        <x:f>COUNTIFS('Deadline Bank'!$C$5:$C$204,$A16+6,'Deadline Bank'!$G$5:$G$204,"&lt;&gt;Done")</x:f>
        <x:v>0</x:v>
      </x:c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86" t="n">
        <x:v>46272</x:v>
      </x:c>
      <x:c r="B17" s="59" t="str">
        <x:f>TEXT(A17,"mmm d")&amp;"–"&amp;TEXT(A17+6,"mmm d")</x:f>
        <x:v>Sep 7–Sep 13</x:v>
      </x:c>
      <x:c r="C17" s="59" t="n">
        <x:f>COUNTIFS('Deadline Bank'!$H$5:$H$204,$A17,'Deadline Bank'!$G$5:$G$204,"&lt;&gt;Done")</x:f>
        <x:v>0</x:v>
      </x:c>
      <x:c r="D17" s="59" t="n">
        <x:f>SUMIFS('Deadline Bank'!$I$5:$I$204,'Deadline Bank'!$H$5:$H$204,$A17,'Deadline Bank'!$G$5:$G$204,"&lt;&gt;Done")</x:f>
        <x:v>0</x:v>
      </x:c>
      <x:c r="E17" s="59" t="n">
        <x:f>SUMIFS('Deadline Bank'!$E$5:$E$204,'Deadline Bank'!$H$5:$H$204,$A17,'Deadline Bank'!$G$5:$G$204,"&lt;&gt;Done")</x:f>
        <x:v>0</x:v>
      </x:c>
      <x:c r="F17" s="59" t="n">
        <x:f>COUNTIFS('Deadline Bank'!$H$5:$H$204,$A17,'Deadline Bank'!$F$5:$F$204,"Unclear",'Deadline Bank'!$G$5:$G$204,"&lt;&gt;Done")</x:f>
        <x:v>0</x:v>
      </x:c>
      <x:c r="G17" s="59" t="n">
        <x:f>IF(MAX(COUNTIFS('Deadline Bank'!$C$5:$C$204,"&gt;="&amp;$A17,'Deadline Bank'!$C$5:$C$204,"&lt;="&amp;$A17+2,'Deadline Bank'!$G$5:$G$204,"&lt;&gt;Done"),COUNTIFS('Deadline Bank'!$C$5:$C$204,"&gt;="&amp;$A17+1,'Deadline Bank'!$C$5:$C$204,"&lt;="&amp;$A17+3,'Deadline Bank'!$G$5:$G$204,"&lt;&gt;Done"),COUNTIFS('Deadline Bank'!$C$5:$C$204,"&gt;="&amp;$A17+2,'Deadline Bank'!$C$5:$C$204,"&lt;="&amp;$A17+4,'Deadline Bank'!$G$5:$G$204,"&lt;&gt;Done"),COUNTIFS('Deadline Bank'!$C$5:$C$204,"&gt;="&amp;$A17+3,'Deadline Bank'!$C$5:$C$204,"&lt;="&amp;$A17+5,'Deadline Bank'!$G$5:$G$204,"&lt;&gt;Done"),COUNTIFS('Deadline Bank'!$C$5:$C$204,"&gt;="&amp;$A17+4,'Deadline Bank'!$C$5:$C$204,"&lt;="&amp;$A17+6,'Deadline Bank'!$G$5:$G$204,"&lt;&gt;Done"))&gt;=3,3,IF(MAX(COUNTIFS('Deadline Bank'!$C$5:$C$204,"&gt;="&amp;$A17,'Deadline Bank'!$C$5:$C$204,"&lt;="&amp;$A17+1,'Deadline Bank'!$G$5:$G$204,"&lt;&gt;Done"),COUNTIFS('Deadline Bank'!$C$5:$C$204,"&gt;="&amp;$A17+1,'Deadline Bank'!$C$5:$C$204,"&lt;="&amp;$A17+2,'Deadline Bank'!$G$5:$G$204,"&lt;&gt;Done"),COUNTIFS('Deadline Bank'!$C$5:$C$204,"&gt;="&amp;$A17+2,'Deadline Bank'!$C$5:$C$204,"&lt;="&amp;$A17+3,'Deadline Bank'!$G$5:$G$204,"&lt;&gt;Done"),COUNTIFS('Deadline Bank'!$C$5:$C$204,"&gt;="&amp;$A17+3,'Deadline Bank'!$C$5:$C$204,"&lt;="&amp;$A17+4,'Deadline Bank'!$G$5:$G$204,"&lt;&gt;Done"),COUNTIFS('Deadline Bank'!$C$5:$C$204,"&gt;="&amp;$A17+4,'Deadline Bank'!$C$5:$C$204,"&lt;="&amp;$A17+5,'Deadline Bank'!$G$5:$G$204,"&lt;&gt;Done"),COUNTIFS('Deadline Bank'!$C$5:$C$204,"&gt;="&amp;$A17+5,'Deadline Bank'!$C$5:$C$204,"&lt;="&amp;$A17+6,'Deadline Bank'!$G$5:$G$204,"&lt;&gt;Done"))&gt;=2,2,0))</x:f>
        <x:v>0</x:v>
      </x:c>
      <x:c r="H17" s="59" t="n">
        <x:f>IF(E17&gt;=12,2,IF(E17&gt;=7,1,0))</x:f>
        <x:v>0</x:v>
      </x:c>
      <x:c r="I17" s="59" t="n">
        <x:f>MIN(2,F17)</x:f>
        <x:v>0</x:v>
      </x:c>
      <x:c r="J17" s="59" t="n">
        <x:f>D17+G17+H17+I17</x:f>
        <x:v>0</x:v>
      </x:c>
      <x:c r="K17" s="59" t="str">
        <x:f>IF(J17&gt;=9,"Red",IF(J17&gt;=5,"Yellow","Green"))</x:f>
        <x:v>Green</x:v>
      </x:c>
      <x:c r="L17" s="59" t="n">
        <x:f>COUNTIFS('Deadline Bank'!$C$5:$C$204,$A17+0,'Deadline Bank'!$G$5:$G$204,"&lt;&gt;Done")</x:f>
        <x:v>0</x:v>
      </x:c>
      <x:c r="M17" s="59" t="n">
        <x:f>COUNTIFS('Deadline Bank'!$C$5:$C$204,$A17+1,'Deadline Bank'!$G$5:$G$204,"&lt;&gt;Done")</x:f>
        <x:v>0</x:v>
      </x:c>
      <x:c r="N17" s="59" t="n">
        <x:f>COUNTIFS('Deadline Bank'!$C$5:$C$204,$A17+2,'Deadline Bank'!$G$5:$G$204,"&lt;&gt;Done")</x:f>
        <x:v>0</x:v>
      </x:c>
      <x:c r="O17" s="59" t="n">
        <x:f>COUNTIFS('Deadline Bank'!$C$5:$C$204,$A17+3,'Deadline Bank'!$G$5:$G$204,"&lt;&gt;Done")</x:f>
        <x:v>0</x:v>
      </x:c>
      <x:c r="P17" s="59" t="n">
        <x:f>COUNTIFS('Deadline Bank'!$C$5:$C$204,$A17+4,'Deadline Bank'!$G$5:$G$204,"&lt;&gt;Done")</x:f>
        <x:v>0</x:v>
      </x:c>
      <x:c r="Q17" s="59" t="n">
        <x:f>COUNTIFS('Deadline Bank'!$C$5:$C$204,$A17+5,'Deadline Bank'!$G$5:$G$204,"&lt;&gt;Done")</x:f>
        <x:v>0</x:v>
      </x:c>
      <x:c r="R17" s="59" t="n">
        <x:f>COUNTIFS('Deadline Bank'!$C$5:$C$204,$A17+6,'Deadline Bank'!$G$5:$G$204,"&lt;&gt;Done")</x:f>
        <x:v>0</x:v>
      </x:c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86" t="n">
        <x:v>46279</x:v>
      </x:c>
      <x:c r="B18" s="59" t="str">
        <x:f>TEXT(A18,"mmm d")&amp;"–"&amp;TEXT(A18+6,"mmm d")</x:f>
        <x:v>Sep 14–Sep 20</x:v>
      </x:c>
      <x:c r="C18" s="59" t="n">
        <x:f>COUNTIFS('Deadline Bank'!$H$5:$H$204,$A18,'Deadline Bank'!$G$5:$G$204,"&lt;&gt;Done")</x:f>
        <x:v>0</x:v>
      </x:c>
      <x:c r="D18" s="59" t="n">
        <x:f>SUMIFS('Deadline Bank'!$I$5:$I$204,'Deadline Bank'!$H$5:$H$204,$A18,'Deadline Bank'!$G$5:$G$204,"&lt;&gt;Done")</x:f>
        <x:v>0</x:v>
      </x:c>
      <x:c r="E18" s="59" t="n">
        <x:f>SUMIFS('Deadline Bank'!$E$5:$E$204,'Deadline Bank'!$H$5:$H$204,$A18,'Deadline Bank'!$G$5:$G$204,"&lt;&gt;Done")</x:f>
        <x:v>0</x:v>
      </x:c>
      <x:c r="F18" s="59" t="n">
        <x:f>COUNTIFS('Deadline Bank'!$H$5:$H$204,$A18,'Deadline Bank'!$F$5:$F$204,"Unclear",'Deadline Bank'!$G$5:$G$204,"&lt;&gt;Done")</x:f>
        <x:v>0</x:v>
      </x:c>
      <x:c r="G18" s="59" t="n">
        <x:f>IF(MAX(COUNTIFS('Deadline Bank'!$C$5:$C$204,"&gt;="&amp;$A18,'Deadline Bank'!$C$5:$C$204,"&lt;="&amp;$A18+2,'Deadline Bank'!$G$5:$G$204,"&lt;&gt;Done"),COUNTIFS('Deadline Bank'!$C$5:$C$204,"&gt;="&amp;$A18+1,'Deadline Bank'!$C$5:$C$204,"&lt;="&amp;$A18+3,'Deadline Bank'!$G$5:$G$204,"&lt;&gt;Done"),COUNTIFS('Deadline Bank'!$C$5:$C$204,"&gt;="&amp;$A18+2,'Deadline Bank'!$C$5:$C$204,"&lt;="&amp;$A18+4,'Deadline Bank'!$G$5:$G$204,"&lt;&gt;Done"),COUNTIFS('Deadline Bank'!$C$5:$C$204,"&gt;="&amp;$A18+3,'Deadline Bank'!$C$5:$C$204,"&lt;="&amp;$A18+5,'Deadline Bank'!$G$5:$G$204,"&lt;&gt;Done"),COUNTIFS('Deadline Bank'!$C$5:$C$204,"&gt;="&amp;$A18+4,'Deadline Bank'!$C$5:$C$204,"&lt;="&amp;$A18+6,'Deadline Bank'!$G$5:$G$204,"&lt;&gt;Done"))&gt;=3,3,IF(MAX(COUNTIFS('Deadline Bank'!$C$5:$C$204,"&gt;="&amp;$A18,'Deadline Bank'!$C$5:$C$204,"&lt;="&amp;$A18+1,'Deadline Bank'!$G$5:$G$204,"&lt;&gt;Done"),COUNTIFS('Deadline Bank'!$C$5:$C$204,"&gt;="&amp;$A18+1,'Deadline Bank'!$C$5:$C$204,"&lt;="&amp;$A18+2,'Deadline Bank'!$G$5:$G$204,"&lt;&gt;Done"),COUNTIFS('Deadline Bank'!$C$5:$C$204,"&gt;="&amp;$A18+2,'Deadline Bank'!$C$5:$C$204,"&lt;="&amp;$A18+3,'Deadline Bank'!$G$5:$G$204,"&lt;&gt;Done"),COUNTIFS('Deadline Bank'!$C$5:$C$204,"&gt;="&amp;$A18+3,'Deadline Bank'!$C$5:$C$204,"&lt;="&amp;$A18+4,'Deadline Bank'!$G$5:$G$204,"&lt;&gt;Done"),COUNTIFS('Deadline Bank'!$C$5:$C$204,"&gt;="&amp;$A18+4,'Deadline Bank'!$C$5:$C$204,"&lt;="&amp;$A18+5,'Deadline Bank'!$G$5:$G$204,"&lt;&gt;Done"),COUNTIFS('Deadline Bank'!$C$5:$C$204,"&gt;="&amp;$A18+5,'Deadline Bank'!$C$5:$C$204,"&lt;="&amp;$A18+6,'Deadline Bank'!$G$5:$G$204,"&lt;&gt;Done"))&gt;=2,2,0))</x:f>
        <x:v>0</x:v>
      </x:c>
      <x:c r="H18" s="59" t="n">
        <x:f>IF(E18&gt;=12,2,IF(E18&gt;=7,1,0))</x:f>
        <x:v>0</x:v>
      </x:c>
      <x:c r="I18" s="59" t="n">
        <x:f>MIN(2,F18)</x:f>
        <x:v>0</x:v>
      </x:c>
      <x:c r="J18" s="59" t="n">
        <x:f>D18+G18+H18+I18</x:f>
        <x:v>0</x:v>
      </x:c>
      <x:c r="K18" s="59" t="str">
        <x:f>IF(J18&gt;=9,"Red",IF(J18&gt;=5,"Yellow","Green"))</x:f>
        <x:v>Green</x:v>
      </x:c>
      <x:c r="L18" s="59" t="n">
        <x:f>COUNTIFS('Deadline Bank'!$C$5:$C$204,$A18+0,'Deadline Bank'!$G$5:$G$204,"&lt;&gt;Done")</x:f>
        <x:v>0</x:v>
      </x:c>
      <x:c r="M18" s="59" t="n">
        <x:f>COUNTIFS('Deadline Bank'!$C$5:$C$204,$A18+1,'Deadline Bank'!$G$5:$G$204,"&lt;&gt;Done")</x:f>
        <x:v>0</x:v>
      </x:c>
      <x:c r="N18" s="59" t="n">
        <x:f>COUNTIFS('Deadline Bank'!$C$5:$C$204,$A18+2,'Deadline Bank'!$G$5:$G$204,"&lt;&gt;Done")</x:f>
        <x:v>0</x:v>
      </x:c>
      <x:c r="O18" s="59" t="n">
        <x:f>COUNTIFS('Deadline Bank'!$C$5:$C$204,$A18+3,'Deadline Bank'!$G$5:$G$204,"&lt;&gt;Done")</x:f>
        <x:v>0</x:v>
      </x:c>
      <x:c r="P18" s="59" t="n">
        <x:f>COUNTIFS('Deadline Bank'!$C$5:$C$204,$A18+4,'Deadline Bank'!$G$5:$G$204,"&lt;&gt;Done")</x:f>
        <x:v>0</x:v>
      </x:c>
      <x:c r="Q18" s="59" t="n">
        <x:f>COUNTIFS('Deadline Bank'!$C$5:$C$204,$A18+5,'Deadline Bank'!$G$5:$G$204,"&lt;&gt;Done")</x:f>
        <x:v>0</x:v>
      </x:c>
      <x:c r="R18" s="59" t="n">
        <x:f>COUNTIFS('Deadline Bank'!$C$5:$C$204,$A18+6,'Deadline Bank'!$G$5:$G$204,"&lt;&gt;Done")</x:f>
        <x:v>0</x:v>
      </x:c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86" t="n">
        <x:v>46286</x:v>
      </x:c>
      <x:c r="B19" s="59" t="str">
        <x:f>TEXT(A19,"mmm d")&amp;"–"&amp;TEXT(A19+6,"mmm d")</x:f>
        <x:v>Sep 21–Sep 27</x:v>
      </x:c>
      <x:c r="C19" s="59" t="n">
        <x:f>COUNTIFS('Deadline Bank'!$H$5:$H$204,$A19,'Deadline Bank'!$G$5:$G$204,"&lt;&gt;Done")</x:f>
        <x:v>0</x:v>
      </x:c>
      <x:c r="D19" s="59" t="n">
        <x:f>SUMIFS('Deadline Bank'!$I$5:$I$204,'Deadline Bank'!$H$5:$H$204,$A19,'Deadline Bank'!$G$5:$G$204,"&lt;&gt;Done")</x:f>
        <x:v>0</x:v>
      </x:c>
      <x:c r="E19" s="59" t="n">
        <x:f>SUMIFS('Deadline Bank'!$E$5:$E$204,'Deadline Bank'!$H$5:$H$204,$A19,'Deadline Bank'!$G$5:$G$204,"&lt;&gt;Done")</x:f>
        <x:v>0</x:v>
      </x:c>
      <x:c r="F19" s="59" t="n">
        <x:f>COUNTIFS('Deadline Bank'!$H$5:$H$204,$A19,'Deadline Bank'!$F$5:$F$204,"Unclear",'Deadline Bank'!$G$5:$G$204,"&lt;&gt;Done")</x:f>
        <x:v>0</x:v>
      </x:c>
      <x:c r="G19" s="59" t="n">
        <x:f>IF(MAX(COUNTIFS('Deadline Bank'!$C$5:$C$204,"&gt;="&amp;$A19,'Deadline Bank'!$C$5:$C$204,"&lt;="&amp;$A19+2,'Deadline Bank'!$G$5:$G$204,"&lt;&gt;Done"),COUNTIFS('Deadline Bank'!$C$5:$C$204,"&gt;="&amp;$A19+1,'Deadline Bank'!$C$5:$C$204,"&lt;="&amp;$A19+3,'Deadline Bank'!$G$5:$G$204,"&lt;&gt;Done"),COUNTIFS('Deadline Bank'!$C$5:$C$204,"&gt;="&amp;$A19+2,'Deadline Bank'!$C$5:$C$204,"&lt;="&amp;$A19+4,'Deadline Bank'!$G$5:$G$204,"&lt;&gt;Done"),COUNTIFS('Deadline Bank'!$C$5:$C$204,"&gt;="&amp;$A19+3,'Deadline Bank'!$C$5:$C$204,"&lt;="&amp;$A19+5,'Deadline Bank'!$G$5:$G$204,"&lt;&gt;Done"),COUNTIFS('Deadline Bank'!$C$5:$C$204,"&gt;="&amp;$A19+4,'Deadline Bank'!$C$5:$C$204,"&lt;="&amp;$A19+6,'Deadline Bank'!$G$5:$G$204,"&lt;&gt;Done"))&gt;=3,3,IF(MAX(COUNTIFS('Deadline Bank'!$C$5:$C$204,"&gt;="&amp;$A19,'Deadline Bank'!$C$5:$C$204,"&lt;="&amp;$A19+1,'Deadline Bank'!$G$5:$G$204,"&lt;&gt;Done"),COUNTIFS('Deadline Bank'!$C$5:$C$204,"&gt;="&amp;$A19+1,'Deadline Bank'!$C$5:$C$204,"&lt;="&amp;$A19+2,'Deadline Bank'!$G$5:$G$204,"&lt;&gt;Done"),COUNTIFS('Deadline Bank'!$C$5:$C$204,"&gt;="&amp;$A19+2,'Deadline Bank'!$C$5:$C$204,"&lt;="&amp;$A19+3,'Deadline Bank'!$G$5:$G$204,"&lt;&gt;Done"),COUNTIFS('Deadline Bank'!$C$5:$C$204,"&gt;="&amp;$A19+3,'Deadline Bank'!$C$5:$C$204,"&lt;="&amp;$A19+4,'Deadline Bank'!$G$5:$G$204,"&lt;&gt;Done"),COUNTIFS('Deadline Bank'!$C$5:$C$204,"&gt;="&amp;$A19+4,'Deadline Bank'!$C$5:$C$204,"&lt;="&amp;$A19+5,'Deadline Bank'!$G$5:$G$204,"&lt;&gt;Done"),COUNTIFS('Deadline Bank'!$C$5:$C$204,"&gt;="&amp;$A19+5,'Deadline Bank'!$C$5:$C$204,"&lt;="&amp;$A19+6,'Deadline Bank'!$G$5:$G$204,"&lt;&gt;Done"))&gt;=2,2,0))</x:f>
        <x:v>0</x:v>
      </x:c>
      <x:c r="H19" s="59" t="n">
        <x:f>IF(E19&gt;=12,2,IF(E19&gt;=7,1,0))</x:f>
        <x:v>0</x:v>
      </x:c>
      <x:c r="I19" s="59" t="n">
        <x:f>MIN(2,F19)</x:f>
        <x:v>0</x:v>
      </x:c>
      <x:c r="J19" s="59" t="n">
        <x:f>D19+G19+H19+I19</x:f>
        <x:v>0</x:v>
      </x:c>
      <x:c r="K19" s="59" t="str">
        <x:f>IF(J19&gt;=9,"Red",IF(J19&gt;=5,"Yellow","Green"))</x:f>
        <x:v>Green</x:v>
      </x:c>
      <x:c r="L19" s="59" t="n">
        <x:f>COUNTIFS('Deadline Bank'!$C$5:$C$204,$A19+0,'Deadline Bank'!$G$5:$G$204,"&lt;&gt;Done")</x:f>
        <x:v>0</x:v>
      </x:c>
      <x:c r="M19" s="59" t="n">
        <x:f>COUNTIFS('Deadline Bank'!$C$5:$C$204,$A19+1,'Deadline Bank'!$G$5:$G$204,"&lt;&gt;Done")</x:f>
        <x:v>0</x:v>
      </x:c>
      <x:c r="N19" s="59" t="n">
        <x:f>COUNTIFS('Deadline Bank'!$C$5:$C$204,$A19+2,'Deadline Bank'!$G$5:$G$204,"&lt;&gt;Done")</x:f>
        <x:v>0</x:v>
      </x:c>
      <x:c r="O19" s="59" t="n">
        <x:f>COUNTIFS('Deadline Bank'!$C$5:$C$204,$A19+3,'Deadline Bank'!$G$5:$G$204,"&lt;&gt;Done")</x:f>
        <x:v>0</x:v>
      </x:c>
      <x:c r="P19" s="59" t="n">
        <x:f>COUNTIFS('Deadline Bank'!$C$5:$C$204,$A19+4,'Deadline Bank'!$G$5:$G$204,"&lt;&gt;Done")</x:f>
        <x:v>0</x:v>
      </x:c>
      <x:c r="Q19" s="59" t="n">
        <x:f>COUNTIFS('Deadline Bank'!$C$5:$C$204,$A19+5,'Deadline Bank'!$G$5:$G$204,"&lt;&gt;Done")</x:f>
        <x:v>0</x:v>
      </x:c>
      <x:c r="R19" s="59" t="n">
        <x:f>COUNTIFS('Deadline Bank'!$C$5:$C$204,$A19+6,'Deadline Bank'!$G$5:$G$204,"&lt;&gt;Done")</x:f>
        <x:v>0</x:v>
      </x:c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86" t="n">
        <x:v>46293</x:v>
      </x:c>
      <x:c r="B20" s="59" t="str">
        <x:f>TEXT(A20,"mmm d")&amp;"–"&amp;TEXT(A20+6,"mmm d")</x:f>
        <x:v>Sep 28–Oct 4</x:v>
      </x:c>
      <x:c r="C20" s="59" t="n">
        <x:f>COUNTIFS('Deadline Bank'!$H$5:$H$204,$A20,'Deadline Bank'!$G$5:$G$204,"&lt;&gt;Done")</x:f>
        <x:v>0</x:v>
      </x:c>
      <x:c r="D20" s="59" t="n">
        <x:f>SUMIFS('Deadline Bank'!$I$5:$I$204,'Deadline Bank'!$H$5:$H$204,$A20,'Deadline Bank'!$G$5:$G$204,"&lt;&gt;Done")</x:f>
        <x:v>0</x:v>
      </x:c>
      <x:c r="E20" s="59" t="n">
        <x:f>SUMIFS('Deadline Bank'!$E$5:$E$204,'Deadline Bank'!$H$5:$H$204,$A20,'Deadline Bank'!$G$5:$G$204,"&lt;&gt;Done")</x:f>
        <x:v>0</x:v>
      </x:c>
      <x:c r="F20" s="59" t="n">
        <x:f>COUNTIFS('Deadline Bank'!$H$5:$H$204,$A20,'Deadline Bank'!$F$5:$F$204,"Unclear",'Deadline Bank'!$G$5:$G$204,"&lt;&gt;Done")</x:f>
        <x:v>0</x:v>
      </x:c>
      <x:c r="G20" s="59" t="n">
        <x:f>IF(MAX(COUNTIFS('Deadline Bank'!$C$5:$C$204,"&gt;="&amp;$A20,'Deadline Bank'!$C$5:$C$204,"&lt;="&amp;$A20+2,'Deadline Bank'!$G$5:$G$204,"&lt;&gt;Done"),COUNTIFS('Deadline Bank'!$C$5:$C$204,"&gt;="&amp;$A20+1,'Deadline Bank'!$C$5:$C$204,"&lt;="&amp;$A20+3,'Deadline Bank'!$G$5:$G$204,"&lt;&gt;Done"),COUNTIFS('Deadline Bank'!$C$5:$C$204,"&gt;="&amp;$A20+2,'Deadline Bank'!$C$5:$C$204,"&lt;="&amp;$A20+4,'Deadline Bank'!$G$5:$G$204,"&lt;&gt;Done"),COUNTIFS('Deadline Bank'!$C$5:$C$204,"&gt;="&amp;$A20+3,'Deadline Bank'!$C$5:$C$204,"&lt;="&amp;$A20+5,'Deadline Bank'!$G$5:$G$204,"&lt;&gt;Done"),COUNTIFS('Deadline Bank'!$C$5:$C$204,"&gt;="&amp;$A20+4,'Deadline Bank'!$C$5:$C$204,"&lt;="&amp;$A20+6,'Deadline Bank'!$G$5:$G$204,"&lt;&gt;Done"))&gt;=3,3,IF(MAX(COUNTIFS('Deadline Bank'!$C$5:$C$204,"&gt;="&amp;$A20,'Deadline Bank'!$C$5:$C$204,"&lt;="&amp;$A20+1,'Deadline Bank'!$G$5:$G$204,"&lt;&gt;Done"),COUNTIFS('Deadline Bank'!$C$5:$C$204,"&gt;="&amp;$A20+1,'Deadline Bank'!$C$5:$C$204,"&lt;="&amp;$A20+2,'Deadline Bank'!$G$5:$G$204,"&lt;&gt;Done"),COUNTIFS('Deadline Bank'!$C$5:$C$204,"&gt;="&amp;$A20+2,'Deadline Bank'!$C$5:$C$204,"&lt;="&amp;$A20+3,'Deadline Bank'!$G$5:$G$204,"&lt;&gt;Done"),COUNTIFS('Deadline Bank'!$C$5:$C$204,"&gt;="&amp;$A20+3,'Deadline Bank'!$C$5:$C$204,"&lt;="&amp;$A20+4,'Deadline Bank'!$G$5:$G$204,"&lt;&gt;Done"),COUNTIFS('Deadline Bank'!$C$5:$C$204,"&gt;="&amp;$A20+4,'Deadline Bank'!$C$5:$C$204,"&lt;="&amp;$A20+5,'Deadline Bank'!$G$5:$G$204,"&lt;&gt;Done"),COUNTIFS('Deadline Bank'!$C$5:$C$204,"&gt;="&amp;$A20+5,'Deadline Bank'!$C$5:$C$204,"&lt;="&amp;$A20+6,'Deadline Bank'!$G$5:$G$204,"&lt;&gt;Done"))&gt;=2,2,0))</x:f>
        <x:v>0</x:v>
      </x:c>
      <x:c r="H20" s="59" t="n">
        <x:f>IF(E20&gt;=12,2,IF(E20&gt;=7,1,0))</x:f>
        <x:v>0</x:v>
      </x:c>
      <x:c r="I20" s="59" t="n">
        <x:f>MIN(2,F20)</x:f>
        <x:v>0</x:v>
      </x:c>
      <x:c r="J20" s="59" t="n">
        <x:f>D20+G20+H20+I20</x:f>
        <x:v>0</x:v>
      </x:c>
      <x:c r="K20" s="59" t="str">
        <x:f>IF(J20&gt;=9,"Red",IF(J20&gt;=5,"Yellow","Green"))</x:f>
        <x:v>Green</x:v>
      </x:c>
      <x:c r="L20" s="59" t="n">
        <x:f>COUNTIFS('Deadline Bank'!$C$5:$C$204,$A20+0,'Deadline Bank'!$G$5:$G$204,"&lt;&gt;Done")</x:f>
        <x:v>0</x:v>
      </x:c>
      <x:c r="M20" s="59" t="n">
        <x:f>COUNTIFS('Deadline Bank'!$C$5:$C$204,$A20+1,'Deadline Bank'!$G$5:$G$204,"&lt;&gt;Done")</x:f>
        <x:v>0</x:v>
      </x:c>
      <x:c r="N20" s="59" t="n">
        <x:f>COUNTIFS('Deadline Bank'!$C$5:$C$204,$A20+2,'Deadline Bank'!$G$5:$G$204,"&lt;&gt;Done")</x:f>
        <x:v>0</x:v>
      </x:c>
      <x:c r="O20" s="59" t="n">
        <x:f>COUNTIFS('Deadline Bank'!$C$5:$C$204,$A20+3,'Deadline Bank'!$G$5:$G$204,"&lt;&gt;Done")</x:f>
        <x:v>0</x:v>
      </x:c>
      <x:c r="P20" s="59" t="n">
        <x:f>COUNTIFS('Deadline Bank'!$C$5:$C$204,$A20+4,'Deadline Bank'!$G$5:$G$204,"&lt;&gt;Done")</x:f>
        <x:v>0</x:v>
      </x:c>
      <x:c r="Q20" s="59" t="n">
        <x:f>COUNTIFS('Deadline Bank'!$C$5:$C$204,$A20+5,'Deadline Bank'!$G$5:$G$204,"&lt;&gt;Done")</x:f>
        <x:v>0</x:v>
      </x:c>
      <x:c r="R20" s="59" t="n">
        <x:f>COUNTIFS('Deadline Bank'!$C$5:$C$204,$A20+6,'Deadline Bank'!$G$5:$G$204,"&lt;&gt;Done")</x:f>
        <x:v>0</x:v>
      </x:c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R1"/>
    <x:mergeCell ref="A2:R2"/>
  </x:mergeCells>
  <x:conditionalFormatting sqref="K5:K20">
    <x:cfRule type="expression" dxfId="4" priority="1">
      <x:formula>K5="Green"</x:formula>
    </x:cfRule>
    <x:cfRule type="expression" dxfId="5" priority="2">
      <x:formula>K5="Yellow"</x:formula>
    </x:cfRule>
    <x:cfRule type="expression" dxfId="6" priority="3">
      <x:formula>K5="Red"</x:formula>
    </x:cfRule>
  </x:conditionalFormatting>
  <x:conditionalFormatting sqref="L5:R20">
    <x:cfRule type="cellIs" dxfId="7" priority="4" operator="greaterThan">
      <x:formula>0</x:formula>
    </x:cfRule>
    <x:cfRule type="cellIs" dxfId="8" priority="5" operator="greaterThanOrEqual">
      <x:formula>2</x:formula>
    </x:cfRule>
    <x:cfRule type="cellIs" dxfId="9" priority="6" operator="greaterThanOrEqual">
      <x:formula>3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0f1cda40f1422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.75" hidden="0" customWidth="1"/>
    <x:col min="2" max="2" width="40.880001068115234" hidden="0" customWidth="1"/>
    <x:col min="3" max="3" width="17.25" hidden="0" customWidth="1"/>
    <x:col min="4" max="4" width="32.130001068115234" hidden="0" customWidth="1"/>
  </x:cols>
  <x:sheetData>
    <x:row r="1" ht="34" customHeight="1">
      <x:c r="A1" s="74" t="str">
        <x:v>Academic Load Score Methodology</x:v>
      </x:c>
      <x:c r="B1" s="88"/>
      <x:c r="C1" s="88"/>
      <x:c r="D1" s="88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The score is a planning signal, not a diagnosis, ranking, or prediction.</x:v>
      </x:c>
      <x:c r="B2" s="90"/>
      <x:c r="C2" s="90"/>
      <x:c r="D2" s="90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Component</x:v>
      </x:c>
      <x:c r="B4" s="80" t="str">
        <x:v>Rule</x:v>
      </x:c>
      <x:c r="C4" s="80" t="str">
        <x:v>Points</x:v>
      </x:c>
      <x:c r="D4" s="80" t="str">
        <x:v>Notes</x:v>
      </x:c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81" t="str">
        <x:v>Small task</x:v>
      </x:c>
      <x:c r="B5" s="81" t="str">
        <x:v>Reading response, small quiz, short exercise</x:v>
      </x:c>
      <x:c r="C5" s="81" t="str">
        <x:v>+1</x:v>
      </x:c>
      <x:c r="D5" s="81" t="str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81" t="str">
        <x:v>Medium task</x:v>
      </x:c>
      <x:c r="B6" s="81" t="str">
        <x:v>Problem set, lab, essay draft, group checkpoint</x:v>
      </x:c>
      <x:c r="C6" s="81" t="str">
        <x:v>+2</x:v>
      </x:c>
      <x:c r="D6" s="81" t="str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81" t="str">
        <x:v>Large task</x:v>
      </x:c>
      <x:c r="B7" s="81" t="str">
        <x:v>Midterm, major essay, project milestone, presentation</x:v>
      </x:c>
      <x:c r="C7" s="81" t="str">
        <x:v>+3</x:v>
      </x:c>
      <x:c r="D7" s="81" t="str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81" t="str">
        <x:v>Deadline clustering</x:v>
      </x:c>
      <x:c r="B8" s="81" t="str">
        <x:v>Two deadlines within 48 hours</x:v>
      </x:c>
      <x:c r="C8" s="81" t="str">
        <x:v>+2</x:v>
      </x:c>
      <x:c r="D8" s="81" t="str">
        <x:v>Template approximates by 2-day windows.</x:v>
      </x:c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81" t="str">
        <x:v>Heavy clustering</x:v>
      </x:c>
      <x:c r="B9" s="81" t="str">
        <x:v>Three or more deadlines within 72 hours</x:v>
      </x:c>
      <x:c r="C9" s="81" t="str">
        <x:v>+3</x:v>
      </x:c>
      <x:c r="D9" s="81" t="str">
        <x:v>Template checks 3-day windows.</x:v>
      </x:c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81" t="str">
        <x:v>Expected effort</x:v>
      </x:c>
      <x:c r="B10" s="81" t="str">
        <x:v>7-11 hours in a week</x:v>
      </x:c>
      <x:c r="C10" s="81" t="str">
        <x:v>+1</x:v>
      </x:c>
      <x:c r="D10" s="81" t="str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81" t="str">
        <x:v>Expected effort</x:v>
      </x:c>
      <x:c r="B11" s="81" t="str">
        <x:v>12+ hours in a week</x:v>
      </x:c>
      <x:c r="C11" s="81" t="str">
        <x:v>+2</x:v>
      </x:c>
      <x:c r="D11" s="81" t="str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81" t="str">
        <x:v>Task unclear</x:v>
      </x:c>
      <x:c r="B12" s="81" t="str">
        <x:v>Requirement marked unclear by student</x:v>
      </x:c>
      <x:c r="C12" s="81" t="str">
        <x:v>+1 each, max +2/week</x:v>
      </x:c>
      <x:c r="D12" s="81" t="str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81" t="str">
        <x:v>Green</x:v>
      </x:c>
      <x:c r="B13" s="81" t="str">
        <x:v>Manageable week; maintain routine</x:v>
      </x:c>
      <x:c r="C13" s="81" t="str">
        <x:v>0-4</x:v>
      </x:c>
      <x:c r="D13" s="81" t="str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81" t="str">
        <x:v>Yellow</x:v>
      </x:c>
      <x:c r="B14" s="81" t="str">
        <x:v>Heavy week; plan early</x:v>
      </x:c>
      <x:c r="C14" s="81" t="str">
        <x:v>5-8</x:v>
      </x:c>
      <x:c r="D14" s="81" t="str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81" t="str">
        <x:v>Red</x:v>
      </x:c>
      <x:c r="B15" s="81" t="str">
        <x:v>High-load week; act within 24-48 hours</x:v>
      </x:c>
      <x:c r="C15" s="81" t="str">
        <x:v>9+</x:v>
      </x:c>
      <x:c r="D15" s="81" t="str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5e5658abc41405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36.380001068115234" hidden="0" customWidth="1"/>
    <x:col min="3" max="3" width="38.25" hidden="0" customWidth="1"/>
  </x:cols>
  <x:sheetData>
    <x:row r="1" ht="34" customHeight="1">
      <x:c r="A1" s="74" t="str">
        <x:v>Academic SOS Navigator</x:v>
      </x:c>
      <x:c r="B1" s="88"/>
      <x:c r="C1" s="88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Common first-year academic problems matched with the most suitable support route.</x:v>
      </x:c>
      <x:c r="B2" s="90"/>
      <x:c r="C2" s="90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Situation</x:v>
      </x:c>
      <x:c r="B4" s="80" t="str">
        <x:v>First action</x:v>
      </x:c>
      <x:c r="C4" s="80" t="str">
        <x:v>Support route</x:v>
      </x:c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81" t="str">
        <x:v>Assignment unclear</x:v>
      </x:c>
      <x:c r="B5" s="81" t="str">
        <x:v>Write one specific question.</x:v>
      </x:c>
      <x:c r="C5" s="81" t="str">
        <x:v>TA or instructor</x:v>
      </x:c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81" t="str">
        <x:v>Too many deadlines</x:v>
      </x:c>
      <x:c r="B6" s="81" t="str">
        <x:v>Use 48-hour triage; choose the highest-risk task.</x:v>
      </x:c>
      <x:c r="C6" s="81" t="str">
        <x:v>VIP Ambassador or Peer Advisor</x:v>
      </x:c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81" t="str">
        <x:v>Do not know how to start</x:v>
      </x:c>
      <x:c r="B7" s="81" t="str">
        <x:v>Try one small step, then bring the blocker.</x:v>
      </x:c>
      <x:c r="C7" s="81" t="str">
        <x:v>Office hour or PASS</x:v>
      </x:c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81" t="str">
        <x:v>Behind across courses</x:v>
      </x:c>
      <x:c r="B8" s="81" t="str">
        <x:v>Book an academic planning talk.</x:v>
      </x:c>
      <x:c r="C8" s="81" t="str">
        <x:v>Professional or Faculty Advisor</x:v>
      </x:c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81" t="str">
        <x:v>Stress affects daily functioning</x:v>
      </x:c>
      <x:c r="B9" s="81" t="str">
        <x:v>Use official support; do not handle it alone.</x:v>
      </x:c>
      <x:c r="C9" s="81" t="str">
        <x:v>Health &amp; Well-Being Center or Peer Support Group</x:v>
      </x:c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92b5600a7454f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70" hidden="0" customWidth="1"/>
  </x:cols>
  <x:sheetData>
    <x:row r="1" ht="34" customHeight="1">
      <x:c r="A1" s="74" t="str">
        <x:v>VIP Template Pack</x:v>
      </x:c>
      <x:c r="B1" s="88"/>
      <x:c r="C1" s="75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Clarification email, office-hour script, 48-hour planner, and priority matrix.</x:v>
      </x:c>
      <x:c r="B2" s="90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Template</x:v>
      </x:c>
      <x:c r="B4" s="80" t="str">
        <x:v>Text</x:v>
      </x:c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81" t="str">
        <x:v>Clarification Email</x:v>
      </x:c>
      <x:c r="B5" s="81" t="str">
        <x:v>Subject: Clarification on [assignment]
Dear [Name],
I am working on [task]. I have checked the instructions, but I am unsure about [specific question]. I tried [attempt]. Could you please clarify what is expected?
Thank you,
[Your name]</x:v>
      </x:c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81" t="str">
        <x:v>Office-Hour Script</x:v>
      </x:c>
      <x:c r="B6" s="81" t="str">
        <x:v>I am working on [task]. I tried [attempt]. I got stuck at [specific blocker]. Could you help me understand the next step?</x:v>
      </x:c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81" t="str">
        <x:v>48-Hour Planner</x:v>
      </x:c>
      <x:c r="B7" s="81" t="str">
        <x:v>List the next 3 deadlines. Choose the highest-risk task. Block two focused sessions. Ask one clarification question if needed. Protect one buffer slot.</x:v>
      </x:c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81" t="str">
        <x:v>Priority Matrix</x:v>
      </x:c>
      <x:c r="B8" s="81" t="str">
        <x:v>Urgent + Important: do first.
Important + Not Urgent: schedule now.
Urgent + Less Important: batch quickly.
Not Urgent + Less Important: save for later.</x:v>
      </x:c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59"/>
      <x:c r="B9" s="59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59"/>
      <x:c r="B11" s="59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59"/>
      <x:c r="B12" s="59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fcd53d87119411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4.75" hidden="0" customWidth="1"/>
    <x:col min="3" max="3" width="48" hidden="0" customWidth="1"/>
  </x:cols>
  <x:sheetData>
    <x:row r="1" ht="34" customHeight="1">
      <x:c r="A1" s="74" t="str">
        <x:v>Eight-Week Pilot Plan</x:v>
      </x:c>
      <x:c r="B1" s="88"/>
      <x:c r="C1" s="88"/>
      <x:c r="D1" s="75"/>
      <x:c r="E1" s="75"/>
      <x:c r="F1" s="75"/>
      <x:c r="G1" s="75"/>
      <x:c r="H1" s="75"/>
      <x:c r="I1" s="75"/>
      <x:c r="J1" s="75"/>
      <x:c r="K1" s="75"/>
      <x:c r="L1" s="75"/>
      <x:c r="M1" s="75"/>
      <x:c r="N1" s="75"/>
      <x:c r="O1" s="75"/>
      <x:c r="P1" s="75"/>
      <x:c r="Q1" s="75"/>
      <x:c r="R1" s="75"/>
      <x:c r="S1" s="75"/>
      <x:c r="T1" s="75"/>
      <x:c r="U1" s="75"/>
      <x:c r="V1" s="75"/>
      <x:c r="W1" s="75"/>
      <x:c r="X1" s="75"/>
      <x:c r="Y1" s="75"/>
      <x:c r="Z1" s="75"/>
    </x:row>
    <x:row r="2" ht="28" customHeight="1">
      <x:c r="A2" s="60" t="str">
        <x:v>Recruitment and sheet setup, real weekly use, SOS routing, feedback, refinement, and reporting.</x:v>
      </x:c>
      <x:c r="B2" s="90"/>
      <x:c r="C2" s="90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Q2" s="78"/>
      <x:c r="R2" s="78"/>
      <x:c r="S2" s="78"/>
      <x:c r="T2" s="78"/>
      <x:c r="U2" s="78"/>
      <x:c r="V2" s="78"/>
      <x:c r="W2" s="78"/>
      <x:c r="X2" s="78"/>
      <x:c r="Y2" s="78"/>
      <x:c r="Z2" s="78"/>
    </x:row>
    <x:row r="3">
      <x:c r="A3" s="59"/>
      <x:c r="B3" s="59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59"/>
      <x:c r="N3" s="59"/>
      <x:c r="O3" s="59"/>
      <x:c r="P3" s="59"/>
      <x:c r="Q3" s="59"/>
      <x:c r="R3" s="59"/>
      <x:c r="S3" s="59"/>
      <x:c r="T3" s="59"/>
      <x:c r="U3" s="59"/>
      <x:c r="V3" s="59"/>
      <x:c r="W3" s="59"/>
      <x:c r="X3" s="59"/>
      <x:c r="Y3" s="59"/>
      <x:c r="Z3" s="59"/>
    </x:row>
    <x:row r="4">
      <x:c r="A4" s="80" t="str">
        <x:v>Week</x:v>
      </x:c>
      <x:c r="B4" s="80" t="str">
        <x:v>Stage</x:v>
      </x:c>
      <x:c r="C4" s="80" t="str">
        <x:v>Activity</x:v>
      </x:c>
      <x:c r="D4" s="59"/>
      <x:c r="E4" s="59"/>
      <x:c r="F4" s="59"/>
      <x:c r="G4" s="59"/>
      <x:c r="H4" s="59"/>
      <x:c r="I4" s="59"/>
      <x:c r="J4" s="59"/>
      <x:c r="K4" s="59"/>
      <x:c r="L4" s="59"/>
      <x:c r="M4" s="59"/>
      <x:c r="N4" s="59"/>
      <x:c r="O4" s="59"/>
      <x:c r="P4" s="59"/>
      <x:c r="Q4" s="59"/>
      <x:c r="R4" s="59"/>
      <x:c r="S4" s="59"/>
      <x:c r="T4" s="59"/>
      <x:c r="U4" s="59"/>
      <x:c r="V4" s="59"/>
      <x:c r="W4" s="59"/>
      <x:c r="X4" s="59"/>
      <x:c r="Y4" s="59"/>
      <x:c r="Z4" s="59"/>
    </x:row>
    <x:row r="5">
      <x:c r="A5" s="81" t="str">
        <x:v>Week 0</x:v>
      </x:c>
      <x:c r="B5" s="81" t="str">
        <x:v>Recruit</x:v>
      </x:c>
      <x:c r="C5" s="81" t="str">
        <x:v>Invite opt-in first-year participants and prepare onboarding.</x:v>
      </x:c>
      <x:c r="D5" s="59"/>
      <x:c r="E5" s="59"/>
      <x:c r="F5" s="59"/>
      <x:c r="G5" s="59"/>
      <x:c r="H5" s="59"/>
      <x:c r="I5" s="59"/>
      <x:c r="J5" s="59"/>
      <x:c r="K5" s="59"/>
      <x:c r="L5" s="59"/>
      <x:c r="M5" s="59"/>
      <x:c r="N5" s="59"/>
      <x:c r="O5" s="59"/>
      <x:c r="P5" s="59"/>
      <x:c r="Q5" s="59"/>
      <x:c r="R5" s="59"/>
      <x:c r="S5" s="59"/>
      <x:c r="T5" s="59"/>
      <x:c r="U5" s="59"/>
      <x:c r="V5" s="59"/>
      <x:c r="W5" s="59"/>
      <x:c r="X5" s="59"/>
      <x:c r="Y5" s="59"/>
      <x:c r="Z5" s="59"/>
    </x:row>
    <x:row r="6">
      <x:c r="A6" s="81" t="str">
        <x:v>Week 1</x:v>
      </x:c>
      <x:c r="B6" s="81" t="str">
        <x:v>Setup Sheet</x:v>
      </x:c>
      <x:c r="C6" s="81" t="str">
        <x:v>Students create their VIP sheet and enter syllabus-based deadlines.</x:v>
      </x:c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  <x:c r="Q6" s="59"/>
      <x:c r="R6" s="59"/>
      <x:c r="S6" s="59"/>
      <x:c r="T6" s="59"/>
      <x:c r="U6" s="59"/>
      <x:c r="V6" s="59"/>
      <x:c r="W6" s="59"/>
      <x:c r="X6" s="59"/>
      <x:c r="Y6" s="59"/>
      <x:c r="Z6" s="59"/>
    </x:row>
    <x:row r="7">
      <x:c r="A7" s="81" t="str">
        <x:v>Week 2</x:v>
      </x:c>
      <x:c r="B7" s="81" t="str">
        <x:v>First Heatmap</x:v>
      </x:c>
      <x:c r="C7" s="81" t="str">
        <x:v>Students view workload heatmap during a real academic week.</x:v>
      </x:c>
      <x:c r="D7" s="59"/>
      <x:c r="E7" s="59"/>
      <x:c r="F7" s="59"/>
      <x:c r="G7" s="59"/>
      <x:c r="H7" s="59"/>
      <x:c r="I7" s="59"/>
      <x:c r="J7" s="59"/>
      <x:c r="K7" s="59"/>
      <x:c r="L7" s="59"/>
      <x:c r="M7" s="59"/>
      <x:c r="N7" s="59"/>
      <x:c r="O7" s="59"/>
      <x:c r="P7" s="59"/>
      <x:c r="Q7" s="59"/>
      <x:c r="R7" s="59"/>
      <x:c r="S7" s="59"/>
      <x:c r="T7" s="59"/>
      <x:c r="U7" s="59"/>
      <x:c r="V7" s="59"/>
      <x:c r="W7" s="59"/>
      <x:c r="X7" s="59"/>
      <x:c r="Y7" s="59"/>
      <x:c r="Z7" s="59"/>
    </x:row>
    <x:row r="8">
      <x:c r="A8" s="81" t="str">
        <x:v>Week 3</x:v>
      </x:c>
      <x:c r="B8" s="81" t="str">
        <x:v>SOS Navigator</x:v>
      </x:c>
      <x:c r="C8" s="81" t="str">
        <x:v>Students use support routes when they are unsure who to ask.</x:v>
      </x:c>
      <x:c r="D8" s="59"/>
      <x:c r="E8" s="59"/>
      <x:c r="F8" s="59"/>
      <x:c r="G8" s="59"/>
      <x:c r="H8" s="59"/>
      <x:c r="I8" s="59"/>
      <x:c r="J8" s="59"/>
      <x:c r="K8" s="59"/>
      <x:c r="L8" s="59"/>
      <x:c r="M8" s="59"/>
      <x:c r="N8" s="59"/>
      <x:c r="O8" s="59"/>
      <x:c r="P8" s="59"/>
      <x:c r="Q8" s="59"/>
      <x:c r="R8" s="59"/>
      <x:c r="S8" s="59"/>
      <x:c r="T8" s="59"/>
      <x:c r="U8" s="59"/>
      <x:c r="V8" s="59"/>
      <x:c r="W8" s="59"/>
      <x:c r="X8" s="59"/>
      <x:c r="Y8" s="59"/>
      <x:c r="Z8" s="59"/>
    </x:row>
    <x:row r="9">
      <x:c r="A9" s="81" t="str">
        <x:v>Week 4</x:v>
      </x:c>
      <x:c r="B9" s="81" t="str">
        <x:v>Feedback</x:v>
      </x:c>
      <x:c r="C9" s="81" t="str">
        <x:v>Collect usability notes and check whether levels are clear.</x:v>
      </x:c>
      <x:c r="D9" s="59"/>
      <x:c r="E9" s="59"/>
      <x:c r="F9" s="59"/>
      <x:c r="G9" s="59"/>
      <x:c r="H9" s="59"/>
      <x:c r="I9" s="59"/>
      <x:c r="J9" s="59"/>
      <x:c r="K9" s="59"/>
      <x:c r="L9" s="59"/>
      <x:c r="M9" s="59"/>
      <x:c r="N9" s="59"/>
      <x:c r="O9" s="59"/>
      <x:c r="P9" s="59"/>
      <x:c r="Q9" s="59"/>
      <x:c r="R9" s="59"/>
      <x:c r="S9" s="59"/>
      <x:c r="T9" s="59"/>
      <x:c r="U9" s="59"/>
      <x:c r="V9" s="59"/>
      <x:c r="W9" s="59"/>
      <x:c r="X9" s="59"/>
      <x:c r="Y9" s="59"/>
      <x:c r="Z9" s="59"/>
    </x:row>
    <x:row r="10">
      <x:c r="A10" s="81" t="str">
        <x:v>Week 5</x:v>
      </x:c>
      <x:c r="B10" s="81" t="str">
        <x:v>Red/Yellow Actions</x:v>
      </x:c>
      <x:c r="C10" s="81" t="str">
        <x:v>Practice action cards and 48-hour triage.</x:v>
      </x:c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  <x:c r="Q10" s="59"/>
      <x:c r="R10" s="59"/>
      <x:c r="S10" s="59"/>
      <x:c r="T10" s="59"/>
      <x:c r="U10" s="59"/>
      <x:c r="V10" s="59"/>
      <x:c r="W10" s="59"/>
      <x:c r="X10" s="59"/>
      <x:c r="Y10" s="59"/>
      <x:c r="Z10" s="59"/>
    </x:row>
    <x:row r="11">
      <x:c r="A11" s="81" t="str">
        <x:v>Week 6</x:v>
      </x:c>
      <x:c r="B11" s="81" t="str">
        <x:v>Refine</x:v>
      </x:c>
      <x:c r="C11" s="81" t="str">
        <x:v>Adjust wording, layout, and scoring explanations.</x:v>
      </x:c>
      <x:c r="D11" s="59"/>
      <x:c r="E11" s="59"/>
      <x:c r="F11" s="59"/>
      <x:c r="G11" s="59"/>
      <x:c r="H11" s="59"/>
      <x:c r="I11" s="59"/>
      <x:c r="J11" s="59"/>
      <x:c r="K11" s="59"/>
      <x:c r="L11" s="59"/>
      <x:c r="M11" s="59"/>
      <x:c r="N11" s="59"/>
      <x:c r="O11" s="59"/>
      <x:c r="P11" s="59"/>
      <x:c r="Q11" s="59"/>
      <x:c r="R11" s="59"/>
      <x:c r="S11" s="59"/>
      <x:c r="T11" s="59"/>
      <x:c r="U11" s="59"/>
      <x:c r="V11" s="59"/>
      <x:c r="W11" s="59"/>
      <x:c r="X11" s="59"/>
      <x:c r="Y11" s="59"/>
      <x:c r="Z11" s="59"/>
    </x:row>
    <x:row r="12">
      <x:c r="A12" s="81" t="str">
        <x:v>Weeks 7-8</x:v>
      </x:c>
      <x:c r="B12" s="81" t="str">
        <x:v>Impact Report</x:v>
      </x:c>
      <x:c r="C12" s="81" t="str">
        <x:v>Run route quiz, post-survey, and summarize anonymized results.</x:v>
      </x:c>
      <x:c r="D12" s="59"/>
      <x:c r="E12" s="59"/>
      <x:c r="F12" s="59"/>
      <x:c r="G12" s="59"/>
      <x:c r="H12" s="59"/>
      <x:c r="I12" s="59"/>
      <x:c r="J12" s="59"/>
      <x:c r="K12" s="59"/>
      <x:c r="L12" s="59"/>
      <x:c r="M12" s="59"/>
      <x:c r="N12" s="59"/>
      <x:c r="O12" s="59"/>
      <x:c r="P12" s="59"/>
      <x:c r="Q12" s="59"/>
      <x:c r="R12" s="59"/>
      <x:c r="S12" s="59"/>
      <x:c r="T12" s="59"/>
      <x:c r="U12" s="59"/>
      <x:c r="V12" s="59"/>
      <x:c r="W12" s="59"/>
      <x:c r="X12" s="59"/>
      <x:c r="Y12" s="59"/>
      <x:c r="Z12" s="59"/>
    </x:row>
    <x:row r="13">
      <x:c r="A13" s="59"/>
      <x:c r="B13" s="59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59"/>
      <x:c r="N13" s="59"/>
      <x:c r="O13" s="59"/>
      <x:c r="P13" s="59"/>
      <x:c r="Q13" s="59"/>
      <x:c r="R13" s="59"/>
      <x:c r="S13" s="59"/>
      <x:c r="T13" s="59"/>
      <x:c r="U13" s="59"/>
      <x:c r="V13" s="59"/>
      <x:c r="W13" s="59"/>
      <x:c r="X13" s="59"/>
      <x:c r="Y13" s="59"/>
      <x:c r="Z13" s="59"/>
    </x:row>
    <x:row r="14">
      <x:c r="A14" s="59"/>
      <x:c r="B14" s="59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59"/>
      <x:c r="N14" s="59"/>
      <x:c r="O14" s="59"/>
      <x:c r="P14" s="59"/>
      <x:c r="Q14" s="59"/>
      <x:c r="R14" s="59"/>
      <x:c r="S14" s="59"/>
      <x:c r="T14" s="59"/>
      <x:c r="U14" s="59"/>
      <x:c r="V14" s="59"/>
      <x:c r="W14" s="59"/>
      <x:c r="X14" s="59"/>
      <x:c r="Y14" s="59"/>
      <x:c r="Z14" s="59"/>
    </x:row>
    <x:row r="15">
      <x:c r="A15" s="59"/>
      <x:c r="B15" s="59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59"/>
      <x:c r="N15" s="59"/>
      <x:c r="O15" s="59"/>
      <x:c r="P15" s="59"/>
      <x:c r="Q15" s="59"/>
      <x:c r="R15" s="59"/>
      <x:c r="S15" s="59"/>
      <x:c r="T15" s="59"/>
      <x:c r="U15" s="59"/>
      <x:c r="V15" s="59"/>
      <x:c r="W15" s="59"/>
      <x:c r="X15" s="59"/>
      <x:c r="Y15" s="59"/>
      <x:c r="Z15" s="59"/>
    </x:row>
    <x:row r="16">
      <x:c r="A16" s="59"/>
      <x:c r="B16" s="59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59"/>
      <x:c r="N16" s="59"/>
      <x:c r="O16" s="59"/>
      <x:c r="P16" s="59"/>
      <x:c r="Q16" s="59"/>
      <x:c r="R16" s="59"/>
      <x:c r="S16" s="59"/>
      <x:c r="T16" s="59"/>
      <x:c r="U16" s="59"/>
      <x:c r="V16" s="59"/>
      <x:c r="W16" s="59"/>
      <x:c r="X16" s="59"/>
      <x:c r="Y16" s="59"/>
      <x:c r="Z16" s="59"/>
    </x:row>
    <x:row r="17">
      <x:c r="A17" s="59"/>
      <x:c r="B17" s="59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59"/>
      <x:c r="N17" s="59"/>
      <x:c r="O17" s="59"/>
      <x:c r="P17" s="59"/>
      <x:c r="Q17" s="59"/>
      <x:c r="R17" s="59"/>
      <x:c r="S17" s="59"/>
      <x:c r="T17" s="59"/>
      <x:c r="U17" s="59"/>
      <x:c r="V17" s="59"/>
      <x:c r="W17" s="59"/>
      <x:c r="X17" s="59"/>
      <x:c r="Y17" s="59"/>
      <x:c r="Z17" s="59"/>
    </x:row>
    <x:row r="18">
      <x:c r="A18" s="59"/>
      <x:c r="B18" s="59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59"/>
      <x:c r="N18" s="59"/>
      <x:c r="O18" s="59"/>
      <x:c r="P18" s="59"/>
      <x:c r="Q18" s="59"/>
      <x:c r="R18" s="59"/>
      <x:c r="S18" s="59"/>
      <x:c r="T18" s="59"/>
      <x:c r="U18" s="59"/>
      <x:c r="V18" s="59"/>
      <x:c r="W18" s="59"/>
      <x:c r="X18" s="59"/>
      <x:c r="Y18" s="59"/>
      <x:c r="Z18" s="59"/>
    </x:row>
    <x:row r="19">
      <x:c r="A19" s="59"/>
      <x:c r="B19" s="59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59"/>
      <x:c r="N19" s="59"/>
      <x:c r="O19" s="59"/>
      <x:c r="P19" s="59"/>
      <x:c r="Q19" s="59"/>
      <x:c r="R19" s="59"/>
      <x:c r="S19" s="59"/>
      <x:c r="T19" s="59"/>
      <x:c r="U19" s="59"/>
      <x:c r="V19" s="59"/>
      <x:c r="W19" s="59"/>
      <x:c r="X19" s="59"/>
      <x:c r="Y19" s="59"/>
      <x:c r="Z19" s="59"/>
    </x:row>
    <x:row r="20">
      <x:c r="A20" s="59"/>
      <x:c r="B20" s="59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59"/>
      <x:c r="N20" s="59"/>
      <x:c r="O20" s="59"/>
      <x:c r="P20" s="59"/>
      <x:c r="Q20" s="59"/>
      <x:c r="R20" s="59"/>
      <x:c r="S20" s="59"/>
      <x:c r="T20" s="59"/>
      <x:c r="U20" s="59"/>
      <x:c r="V20" s="59"/>
      <x:c r="W20" s="59"/>
      <x:c r="X20" s="59"/>
      <x:c r="Y20" s="59"/>
      <x:c r="Z20" s="59"/>
    </x:row>
    <x:row r="21">
      <x:c r="A21" s="59"/>
      <x:c r="B21" s="59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59"/>
      <x:c r="N21" s="59"/>
      <x:c r="O21" s="59"/>
      <x:c r="P21" s="59"/>
      <x:c r="Q21" s="59"/>
      <x:c r="R21" s="59"/>
      <x:c r="S21" s="59"/>
      <x:c r="T21" s="59"/>
      <x:c r="U21" s="59"/>
      <x:c r="V21" s="59"/>
      <x:c r="W21" s="59"/>
      <x:c r="X21" s="59"/>
      <x:c r="Y21" s="59"/>
      <x:c r="Z21" s="59"/>
    </x:row>
    <x:row r="22">
      <x:c r="A22" s="59"/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59"/>
      <x:c r="N22" s="59"/>
      <x:c r="O22" s="59"/>
      <x:c r="P22" s="59"/>
      <x:c r="Q22" s="59"/>
      <x:c r="R22" s="59"/>
      <x:c r="S22" s="59"/>
      <x:c r="T22" s="59"/>
      <x:c r="U22" s="59"/>
      <x:c r="V22" s="59"/>
      <x:c r="W22" s="59"/>
      <x:c r="X22" s="59"/>
      <x:c r="Y22" s="59"/>
      <x:c r="Z22" s="59"/>
    </x:row>
    <x:row r="23">
      <x:c r="A23" s="59"/>
      <x:c r="B23" s="59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59"/>
      <x:c r="N23" s="59"/>
      <x:c r="O23" s="59"/>
      <x:c r="P23" s="59"/>
      <x:c r="Q23" s="59"/>
      <x:c r="R23" s="59"/>
      <x:c r="S23" s="59"/>
      <x:c r="T23" s="59"/>
      <x:c r="U23" s="59"/>
      <x:c r="V23" s="59"/>
      <x:c r="W23" s="59"/>
      <x:c r="X23" s="59"/>
      <x:c r="Y23" s="59"/>
      <x:c r="Z23" s="59"/>
    </x:row>
    <x:row r="24">
      <x:c r="A24" s="59"/>
      <x:c r="B24" s="59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59"/>
      <x:c r="N24" s="59"/>
      <x:c r="O24" s="59"/>
      <x:c r="P24" s="59"/>
      <x:c r="Q24" s="59"/>
      <x:c r="R24" s="59"/>
      <x:c r="S24" s="59"/>
      <x:c r="T24" s="59"/>
      <x:c r="U24" s="59"/>
      <x:c r="V24" s="59"/>
      <x:c r="W24" s="59"/>
      <x:c r="X24" s="59"/>
      <x:c r="Y24" s="59"/>
      <x:c r="Z24" s="59"/>
    </x:row>
    <x:row r="25">
      <x:c r="A25" s="59"/>
      <x:c r="B25" s="59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59"/>
      <x:c r="N25" s="59"/>
      <x:c r="O25" s="59"/>
      <x:c r="P25" s="59"/>
      <x:c r="Q25" s="59"/>
      <x:c r="R25" s="59"/>
      <x:c r="S25" s="59"/>
      <x:c r="T25" s="59"/>
      <x:c r="U25" s="59"/>
      <x:c r="V25" s="59"/>
      <x:c r="W25" s="59"/>
      <x:c r="X25" s="59"/>
      <x:c r="Y25" s="59"/>
      <x:c r="Z25" s="59"/>
    </x:row>
    <x:row r="26">
      <x:c r="A26" s="59"/>
      <x:c r="B26" s="59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59"/>
      <x:c r="N26" s="59"/>
      <x:c r="O26" s="59"/>
      <x:c r="P26" s="59"/>
      <x:c r="Q26" s="59"/>
      <x:c r="R26" s="59"/>
      <x:c r="S26" s="59"/>
      <x:c r="T26" s="59"/>
      <x:c r="U26" s="59"/>
      <x:c r="V26" s="59"/>
      <x:c r="W26" s="59"/>
      <x:c r="X26" s="59"/>
      <x:c r="Y26" s="59"/>
      <x:c r="Z26" s="59"/>
    </x:row>
    <x:row r="27">
      <x:c r="A27" s="59"/>
      <x:c r="B27" s="59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59"/>
      <x:c r="N27" s="59"/>
      <x:c r="O27" s="59"/>
      <x:c r="P27" s="59"/>
      <x:c r="Q27" s="59"/>
      <x:c r="R27" s="59"/>
      <x:c r="S27" s="59"/>
      <x:c r="T27" s="59"/>
      <x:c r="U27" s="59"/>
      <x:c r="V27" s="59"/>
      <x:c r="W27" s="59"/>
      <x:c r="X27" s="59"/>
      <x:c r="Y27" s="59"/>
      <x:c r="Z27" s="59"/>
    </x:row>
    <x:row r="28">
      <x:c r="A28" s="59"/>
      <x:c r="B28" s="59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59"/>
      <x:c r="N28" s="59"/>
      <x:c r="O28" s="59"/>
      <x:c r="P28" s="59"/>
      <x:c r="Q28" s="59"/>
      <x:c r="R28" s="59"/>
      <x:c r="S28" s="59"/>
      <x:c r="T28" s="59"/>
      <x:c r="U28" s="59"/>
      <x:c r="V28" s="59"/>
      <x:c r="W28" s="59"/>
      <x:c r="X28" s="59"/>
      <x:c r="Y28" s="59"/>
      <x:c r="Z28" s="59"/>
    </x:row>
    <x:row r="29">
      <x:c r="A29" s="59"/>
      <x:c r="B29" s="59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59"/>
      <x:c r="N29" s="59"/>
      <x:c r="O29" s="59"/>
      <x:c r="P29" s="59"/>
      <x:c r="Q29" s="59"/>
      <x:c r="R29" s="59"/>
      <x:c r="S29" s="59"/>
      <x:c r="T29" s="59"/>
      <x:c r="U29" s="59"/>
      <x:c r="V29" s="59"/>
      <x:c r="W29" s="59"/>
      <x:c r="X29" s="59"/>
      <x:c r="Y29" s="59"/>
      <x:c r="Z29" s="59"/>
    </x:row>
    <x:row r="30">
      <x:c r="A30" s="59"/>
      <x:c r="B30" s="59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59"/>
      <x:c r="N30" s="59"/>
      <x:c r="O30" s="59"/>
      <x:c r="P30" s="59"/>
      <x:c r="Q30" s="59"/>
      <x:c r="R30" s="59"/>
      <x:c r="S30" s="59"/>
      <x:c r="T30" s="59"/>
      <x:c r="U30" s="59"/>
      <x:c r="V30" s="59"/>
      <x:c r="W30" s="59"/>
      <x:c r="X30" s="59"/>
      <x:c r="Y30" s="59"/>
      <x:c r="Z30" s="59"/>
    </x:row>
    <x:row r="31">
      <x:c r="A31" s="59"/>
      <x:c r="B31" s="59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59"/>
      <x:c r="N31" s="59"/>
      <x:c r="O31" s="59"/>
      <x:c r="P31" s="59"/>
      <x:c r="Q31" s="59"/>
      <x:c r="R31" s="59"/>
      <x:c r="S31" s="59"/>
      <x:c r="T31" s="59"/>
      <x:c r="U31" s="59"/>
      <x:c r="V31" s="59"/>
      <x:c r="W31" s="59"/>
      <x:c r="X31" s="59"/>
      <x:c r="Y31" s="59"/>
      <x:c r="Z31" s="59"/>
    </x:row>
    <x:row r="32">
      <x:c r="A32" s="59"/>
      <x:c r="B32" s="59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59"/>
      <x:c r="N32" s="59"/>
      <x:c r="O32" s="59"/>
      <x:c r="P32" s="59"/>
      <x:c r="Q32" s="59"/>
      <x:c r="R32" s="59"/>
      <x:c r="S32" s="59"/>
      <x:c r="T32" s="59"/>
      <x:c r="U32" s="59"/>
      <x:c r="V32" s="59"/>
      <x:c r="W32" s="59"/>
      <x:c r="X32" s="59"/>
      <x:c r="Y32" s="59"/>
      <x:c r="Z32" s="59"/>
    </x:row>
    <x:row r="33">
      <x:c r="A33" s="59"/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  <x:c r="T33" s="59"/>
      <x:c r="U33" s="59"/>
      <x:c r="V33" s="59"/>
      <x:c r="W33" s="59"/>
      <x:c r="X33" s="59"/>
      <x:c r="Y33" s="59"/>
      <x:c r="Z33" s="59"/>
    </x:row>
    <x:row r="34">
      <x:c r="A34" s="59"/>
      <x:c r="B34" s="59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59"/>
      <x:c r="N34" s="59"/>
      <x:c r="O34" s="59"/>
      <x:c r="P34" s="59"/>
      <x:c r="Q34" s="59"/>
      <x:c r="R34" s="59"/>
      <x:c r="S34" s="59"/>
      <x:c r="T34" s="59"/>
      <x:c r="U34" s="59"/>
      <x:c r="V34" s="59"/>
      <x:c r="W34" s="59"/>
      <x:c r="X34" s="59"/>
      <x:c r="Y34" s="59"/>
      <x:c r="Z34" s="59"/>
    </x:row>
    <x:row r="35">
      <x:c r="A35" s="59"/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59"/>
      <x:c r="N35" s="59"/>
      <x:c r="O35" s="59"/>
      <x:c r="P35" s="59"/>
      <x:c r="Q35" s="59"/>
      <x:c r="R35" s="59"/>
      <x:c r="S35" s="59"/>
      <x:c r="T35" s="59"/>
      <x:c r="U35" s="59"/>
      <x:c r="V35" s="59"/>
      <x:c r="W35" s="59"/>
      <x:c r="X35" s="59"/>
      <x:c r="Y35" s="59"/>
      <x:c r="Z35" s="59"/>
    </x:row>
    <x:row r="36">
      <x:c r="A36" s="59"/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59"/>
      <x:c r="N36" s="59"/>
      <x:c r="O36" s="59"/>
      <x:c r="P36" s="59"/>
      <x:c r="Q36" s="59"/>
      <x:c r="R36" s="59"/>
      <x:c r="S36" s="59"/>
      <x:c r="T36" s="59"/>
      <x:c r="U36" s="59"/>
      <x:c r="V36" s="59"/>
      <x:c r="W36" s="59"/>
      <x:c r="X36" s="59"/>
      <x:c r="Y36" s="59"/>
      <x:c r="Z36" s="59"/>
    </x:row>
    <x:row r="37">
      <x:c r="A37" s="59"/>
      <x:c r="B37" s="59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59"/>
      <x:c r="N37" s="59"/>
      <x:c r="O37" s="59"/>
      <x:c r="P37" s="59"/>
      <x:c r="Q37" s="59"/>
      <x:c r="R37" s="59"/>
      <x:c r="S37" s="59"/>
      <x:c r="T37" s="59"/>
      <x:c r="U37" s="59"/>
      <x:c r="V37" s="59"/>
      <x:c r="W37" s="59"/>
      <x:c r="X37" s="59"/>
      <x:c r="Y37" s="59"/>
      <x:c r="Z37" s="59"/>
    </x:row>
    <x:row r="38">
      <x:c r="A38" s="59"/>
      <x:c r="B38" s="59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59"/>
      <x:c r="N38" s="59"/>
      <x:c r="O38" s="59"/>
      <x:c r="P38" s="59"/>
      <x:c r="Q38" s="59"/>
      <x:c r="R38" s="59"/>
      <x:c r="S38" s="59"/>
      <x:c r="T38" s="59"/>
      <x:c r="U38" s="59"/>
      <x:c r="V38" s="59"/>
      <x:c r="W38" s="59"/>
      <x:c r="X38" s="59"/>
      <x:c r="Y38" s="59"/>
      <x:c r="Z38" s="59"/>
    </x:row>
    <x:row r="39">
      <x:c r="A39" s="59"/>
      <x:c r="B39" s="59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59"/>
      <x:c r="N39" s="59"/>
      <x:c r="O39" s="59"/>
      <x:c r="P39" s="59"/>
      <x:c r="Q39" s="59"/>
      <x:c r="R39" s="59"/>
      <x:c r="S39" s="59"/>
      <x:c r="T39" s="59"/>
      <x:c r="U39" s="59"/>
      <x:c r="V39" s="59"/>
      <x:c r="W39" s="59"/>
      <x:c r="X39" s="59"/>
      <x:c r="Y39" s="59"/>
      <x:c r="Z39" s="59"/>
    </x:row>
    <x:row r="40">
      <x:c r="A40" s="59"/>
      <x:c r="B40" s="59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59"/>
      <x:c r="N40" s="59"/>
      <x:c r="O40" s="59"/>
      <x:c r="P40" s="59"/>
      <x:c r="Q40" s="59"/>
      <x:c r="R40" s="59"/>
      <x:c r="S40" s="59"/>
      <x:c r="T40" s="59"/>
      <x:c r="U40" s="59"/>
      <x:c r="V40" s="59"/>
      <x:c r="W40" s="59"/>
      <x:c r="X40" s="59"/>
      <x:c r="Y40" s="59"/>
      <x:c r="Z40" s="59"/>
    </x:row>
    <x:row r="41">
      <x:c r="A41" s="59"/>
      <x:c r="B41" s="59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59"/>
      <x:c r="N41" s="59"/>
      <x:c r="O41" s="59"/>
      <x:c r="P41" s="59"/>
      <x:c r="Q41" s="59"/>
      <x:c r="R41" s="59"/>
      <x:c r="S41" s="59"/>
      <x:c r="T41" s="59"/>
      <x:c r="U41" s="59"/>
      <x:c r="V41" s="59"/>
      <x:c r="W41" s="59"/>
      <x:c r="X41" s="59"/>
      <x:c r="Y41" s="59"/>
      <x:c r="Z41" s="59"/>
    </x:row>
    <x:row r="42">
      <x:c r="A42" s="59"/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59"/>
      <x:c r="N42" s="59"/>
      <x:c r="O42" s="59"/>
      <x:c r="P42" s="59"/>
      <x:c r="Q42" s="59"/>
      <x:c r="R42" s="59"/>
      <x:c r="S42" s="59"/>
      <x:c r="T42" s="59"/>
      <x:c r="U42" s="59"/>
      <x:c r="V42" s="59"/>
      <x:c r="W42" s="59"/>
      <x:c r="X42" s="59"/>
      <x:c r="Y42" s="59"/>
      <x:c r="Z42" s="59"/>
    </x:row>
    <x:row r="43">
      <x:c r="A43" s="59"/>
      <x:c r="B43" s="59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59"/>
      <x:c r="N43" s="59"/>
      <x:c r="O43" s="59"/>
      <x:c r="P43" s="59"/>
      <x:c r="Q43" s="59"/>
      <x:c r="R43" s="59"/>
      <x:c r="S43" s="59"/>
      <x:c r="T43" s="59"/>
      <x:c r="U43" s="59"/>
      <x:c r="V43" s="59"/>
      <x:c r="W43" s="59"/>
      <x:c r="X43" s="59"/>
      <x:c r="Y43" s="59"/>
      <x:c r="Z43" s="59"/>
    </x:row>
    <x:row r="44">
      <x:c r="A44" s="59"/>
      <x:c r="B44" s="59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59"/>
      <x:c r="N44" s="59"/>
      <x:c r="O44" s="59"/>
      <x:c r="P44" s="59"/>
      <x:c r="Q44" s="59"/>
      <x:c r="R44" s="59"/>
      <x:c r="S44" s="59"/>
      <x:c r="T44" s="59"/>
      <x:c r="U44" s="59"/>
      <x:c r="V44" s="59"/>
      <x:c r="W44" s="59"/>
      <x:c r="X44" s="59"/>
      <x:c r="Y44" s="59"/>
      <x:c r="Z44" s="59"/>
    </x:row>
    <x:row r="45">
      <x:c r="A45" s="59"/>
      <x:c r="B45" s="59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59"/>
      <x:c r="N45" s="59"/>
      <x:c r="O45" s="59"/>
      <x:c r="P45" s="59"/>
      <x:c r="Q45" s="59"/>
      <x:c r="R45" s="59"/>
      <x:c r="S45" s="59"/>
      <x:c r="T45" s="59"/>
      <x:c r="U45" s="59"/>
      <x:c r="V45" s="59"/>
      <x:c r="W45" s="59"/>
      <x:c r="X45" s="59"/>
      <x:c r="Y45" s="59"/>
      <x:c r="Z45" s="59"/>
    </x:row>
    <x:row r="46">
      <x:c r="A46" s="59"/>
      <x:c r="B46" s="59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59"/>
      <x:c r="N46" s="59"/>
      <x:c r="O46" s="59"/>
      <x:c r="P46" s="59"/>
      <x:c r="Q46" s="59"/>
      <x:c r="R46" s="59"/>
      <x:c r="S46" s="59"/>
      <x:c r="T46" s="59"/>
      <x:c r="U46" s="59"/>
      <x:c r="V46" s="59"/>
      <x:c r="W46" s="59"/>
      <x:c r="X46" s="59"/>
      <x:c r="Y46" s="59"/>
      <x:c r="Z46" s="59"/>
    </x:row>
    <x:row r="47">
      <x:c r="A47" s="59"/>
      <x:c r="B47" s="59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59"/>
      <x:c r="N47" s="59"/>
      <x:c r="O47" s="59"/>
      <x:c r="P47" s="59"/>
      <x:c r="Q47" s="59"/>
      <x:c r="R47" s="59"/>
      <x:c r="S47" s="59"/>
      <x:c r="T47" s="59"/>
      <x:c r="U47" s="59"/>
      <x:c r="V47" s="59"/>
      <x:c r="W47" s="59"/>
      <x:c r="X47" s="59"/>
      <x:c r="Y47" s="59"/>
      <x:c r="Z47" s="59"/>
    </x:row>
    <x:row r="48">
      <x:c r="A48" s="59"/>
      <x:c r="B48" s="59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59"/>
      <x:c r="N48" s="59"/>
      <x:c r="O48" s="59"/>
      <x:c r="P48" s="59"/>
      <x:c r="Q48" s="59"/>
      <x:c r="R48" s="59"/>
      <x:c r="S48" s="59"/>
      <x:c r="T48" s="59"/>
      <x:c r="U48" s="59"/>
      <x:c r="V48" s="59"/>
      <x:c r="W48" s="59"/>
      <x:c r="X48" s="59"/>
      <x:c r="Y48" s="59"/>
      <x:c r="Z48" s="59"/>
    </x:row>
    <x:row r="49">
      <x:c r="A49" s="59"/>
      <x:c r="B49" s="59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59"/>
      <x:c r="N49" s="59"/>
      <x:c r="O49" s="59"/>
      <x:c r="P49" s="59"/>
      <x:c r="Q49" s="59"/>
      <x:c r="R49" s="59"/>
      <x:c r="S49" s="59"/>
      <x:c r="T49" s="59"/>
      <x:c r="U49" s="59"/>
      <x:c r="V49" s="59"/>
      <x:c r="W49" s="59"/>
      <x:c r="X49" s="59"/>
      <x:c r="Y49" s="59"/>
      <x:c r="Z49" s="59"/>
    </x:row>
    <x:row r="50">
      <x:c r="A50" s="59"/>
      <x:c r="B50" s="59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59"/>
      <x:c r="N50" s="59"/>
      <x:c r="O50" s="59"/>
      <x:c r="P50" s="59"/>
      <x:c r="Q50" s="59"/>
      <x:c r="R50" s="59"/>
      <x:c r="S50" s="59"/>
      <x:c r="T50" s="59"/>
      <x:c r="U50" s="59"/>
      <x:c r="V50" s="59"/>
      <x:c r="W50" s="59"/>
      <x:c r="X50" s="59"/>
      <x:c r="Y50" s="59"/>
      <x:c r="Z50" s="59"/>
    </x:row>
    <x:row r="51">
      <x:c r="A51" s="59"/>
      <x:c r="B51" s="59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59"/>
      <x:c r="N51" s="59"/>
      <x:c r="O51" s="59"/>
      <x:c r="P51" s="59"/>
      <x:c r="Q51" s="59"/>
      <x:c r="R51" s="59"/>
      <x:c r="S51" s="59"/>
      <x:c r="T51" s="59"/>
      <x:c r="U51" s="59"/>
      <x:c r="V51" s="59"/>
      <x:c r="W51" s="59"/>
      <x:c r="X51" s="59"/>
      <x:c r="Y51" s="59"/>
      <x:c r="Z51" s="59"/>
    </x:row>
    <x:row r="52">
      <x:c r="A52" s="59"/>
      <x:c r="B52" s="59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59"/>
      <x:c r="N52" s="59"/>
      <x:c r="O52" s="59"/>
      <x:c r="P52" s="59"/>
      <x:c r="Q52" s="59"/>
      <x:c r="R52" s="59"/>
      <x:c r="S52" s="59"/>
      <x:c r="T52" s="59"/>
      <x:c r="U52" s="59"/>
      <x:c r="V52" s="59"/>
      <x:c r="W52" s="59"/>
      <x:c r="X52" s="59"/>
      <x:c r="Y52" s="59"/>
      <x:c r="Z52" s="59"/>
    </x:row>
    <x:row r="53">
      <x:c r="A53" s="59"/>
      <x:c r="B53" s="59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59"/>
      <x:c r="N53" s="59"/>
      <x:c r="O53" s="59"/>
      <x:c r="P53" s="59"/>
      <x:c r="Q53" s="59"/>
      <x:c r="R53" s="59"/>
      <x:c r="S53" s="59"/>
      <x:c r="T53" s="59"/>
      <x:c r="U53" s="59"/>
      <x:c r="V53" s="59"/>
      <x:c r="W53" s="59"/>
      <x:c r="X53" s="59"/>
      <x:c r="Y53" s="59"/>
      <x:c r="Z53" s="59"/>
    </x:row>
    <x:row r="54">
      <x:c r="A54" s="59"/>
      <x:c r="B54" s="59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59"/>
      <x:c r="N54" s="59"/>
      <x:c r="O54" s="59"/>
      <x:c r="P54" s="59"/>
      <x:c r="Q54" s="59"/>
      <x:c r="R54" s="59"/>
      <x:c r="S54" s="59"/>
      <x:c r="T54" s="59"/>
      <x:c r="U54" s="59"/>
      <x:c r="V54" s="59"/>
      <x:c r="W54" s="59"/>
      <x:c r="X54" s="59"/>
      <x:c r="Y54" s="59"/>
      <x:c r="Z54" s="59"/>
    </x:row>
    <x:row r="55">
      <x:c r="A55" s="59"/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59"/>
      <x:c r="N55" s="59"/>
      <x:c r="O55" s="59"/>
      <x:c r="P55" s="59"/>
      <x:c r="Q55" s="59"/>
      <x:c r="R55" s="59"/>
      <x:c r="S55" s="59"/>
      <x:c r="T55" s="59"/>
      <x:c r="U55" s="59"/>
      <x:c r="V55" s="59"/>
      <x:c r="W55" s="59"/>
      <x:c r="X55" s="59"/>
      <x:c r="Y55" s="59"/>
      <x:c r="Z55" s="59"/>
    </x:row>
    <x:row r="56">
      <x:c r="A56" s="59"/>
      <x:c r="B56" s="59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59"/>
      <x:c r="N56" s="59"/>
      <x:c r="O56" s="59"/>
      <x:c r="P56" s="59"/>
      <x:c r="Q56" s="59"/>
      <x:c r="R56" s="59"/>
      <x:c r="S56" s="59"/>
      <x:c r="T56" s="59"/>
      <x:c r="U56" s="59"/>
      <x:c r="V56" s="59"/>
      <x:c r="W56" s="59"/>
      <x:c r="X56" s="59"/>
      <x:c r="Y56" s="59"/>
      <x:c r="Z56" s="59"/>
    </x:row>
    <x:row r="57">
      <x:c r="A57" s="59"/>
      <x:c r="B57" s="59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59"/>
      <x:c r="N57" s="59"/>
      <x:c r="O57" s="59"/>
      <x:c r="P57" s="59"/>
      <x:c r="Q57" s="59"/>
      <x:c r="R57" s="59"/>
      <x:c r="S57" s="59"/>
      <x:c r="T57" s="59"/>
      <x:c r="U57" s="59"/>
      <x:c r="V57" s="59"/>
      <x:c r="W57" s="59"/>
      <x:c r="X57" s="59"/>
      <x:c r="Y57" s="59"/>
      <x:c r="Z57" s="59"/>
    </x:row>
    <x:row r="58">
      <x:c r="A58" s="59"/>
      <x:c r="B58" s="59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59"/>
      <x:c r="N58" s="59"/>
      <x:c r="O58" s="59"/>
      <x:c r="P58" s="59"/>
      <x:c r="Q58" s="59"/>
      <x:c r="R58" s="59"/>
      <x:c r="S58" s="59"/>
      <x:c r="T58" s="59"/>
      <x:c r="U58" s="59"/>
      <x:c r="V58" s="59"/>
      <x:c r="W58" s="59"/>
      <x:c r="X58" s="59"/>
      <x:c r="Y58" s="59"/>
      <x:c r="Z58" s="59"/>
    </x:row>
    <x:row r="59">
      <x:c r="A59" s="59"/>
      <x:c r="B59" s="59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59"/>
      <x:c r="N59" s="59"/>
      <x:c r="O59" s="59"/>
      <x:c r="P59" s="59"/>
      <x:c r="Q59" s="59"/>
      <x:c r="R59" s="59"/>
      <x:c r="S59" s="59"/>
      <x:c r="T59" s="59"/>
      <x:c r="U59" s="59"/>
      <x:c r="V59" s="59"/>
      <x:c r="W59" s="59"/>
      <x:c r="X59" s="59"/>
      <x:c r="Y59" s="59"/>
      <x:c r="Z59" s="59"/>
    </x:row>
    <x:row r="60">
      <x:c r="A60" s="59"/>
      <x:c r="B60" s="59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59"/>
      <x:c r="N60" s="59"/>
      <x:c r="O60" s="59"/>
      <x:c r="P60" s="59"/>
      <x:c r="Q60" s="59"/>
      <x:c r="R60" s="59"/>
      <x:c r="S60" s="59"/>
      <x:c r="T60" s="59"/>
      <x:c r="U60" s="59"/>
      <x:c r="V60" s="59"/>
      <x:c r="W60" s="59"/>
      <x:c r="X60" s="59"/>
      <x:c r="Y60" s="59"/>
      <x:c r="Z60" s="59"/>
    </x:row>
    <x:row r="61">
      <x:c r="A61" s="59"/>
      <x:c r="B61" s="59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59"/>
      <x:c r="N61" s="59"/>
      <x:c r="O61" s="59"/>
      <x:c r="P61" s="59"/>
      <x:c r="Q61" s="59"/>
      <x:c r="R61" s="59"/>
      <x:c r="S61" s="59"/>
      <x:c r="T61" s="59"/>
      <x:c r="U61" s="59"/>
      <x:c r="V61" s="59"/>
      <x:c r="W61" s="59"/>
      <x:c r="X61" s="59"/>
      <x:c r="Y61" s="59"/>
      <x:c r="Z61" s="59"/>
    </x:row>
    <x:row r="62">
      <x:c r="A62" s="59"/>
      <x:c r="B62" s="59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59"/>
      <x:c r="N62" s="59"/>
      <x:c r="O62" s="59"/>
      <x:c r="P62" s="59"/>
      <x:c r="Q62" s="59"/>
      <x:c r="R62" s="59"/>
      <x:c r="S62" s="59"/>
      <x:c r="T62" s="59"/>
      <x:c r="U62" s="59"/>
      <x:c r="V62" s="59"/>
      <x:c r="W62" s="59"/>
      <x:c r="X62" s="59"/>
      <x:c r="Y62" s="59"/>
      <x:c r="Z62" s="59"/>
    </x:row>
    <x:row r="63">
      <x:c r="A63" s="59"/>
      <x:c r="B63" s="59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59"/>
      <x:c r="N63" s="59"/>
      <x:c r="O63" s="59"/>
      <x:c r="P63" s="59"/>
      <x:c r="Q63" s="59"/>
      <x:c r="R63" s="59"/>
      <x:c r="S63" s="59"/>
      <x:c r="T63" s="59"/>
      <x:c r="U63" s="59"/>
      <x:c r="V63" s="59"/>
      <x:c r="W63" s="59"/>
      <x:c r="X63" s="59"/>
      <x:c r="Y63" s="59"/>
      <x:c r="Z63" s="59"/>
    </x:row>
    <x:row r="64">
      <x:c r="A64" s="59"/>
      <x:c r="B64" s="59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59"/>
      <x:c r="N64" s="59"/>
      <x:c r="O64" s="59"/>
      <x:c r="P64" s="59"/>
      <x:c r="Q64" s="59"/>
      <x:c r="R64" s="59"/>
      <x:c r="S64" s="59"/>
      <x:c r="T64" s="59"/>
      <x:c r="U64" s="59"/>
      <x:c r="V64" s="59"/>
      <x:c r="W64" s="59"/>
      <x:c r="X64" s="59"/>
      <x:c r="Y64" s="59"/>
      <x:c r="Z64" s="59"/>
    </x:row>
    <x:row r="65">
      <x:c r="A65" s="59"/>
      <x:c r="B65" s="59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59"/>
      <x:c r="N65" s="59"/>
      <x:c r="O65" s="59"/>
      <x:c r="P65" s="59"/>
      <x:c r="Q65" s="59"/>
      <x:c r="R65" s="59"/>
      <x:c r="S65" s="59"/>
      <x:c r="T65" s="59"/>
      <x:c r="U65" s="59"/>
      <x:c r="V65" s="59"/>
      <x:c r="W65" s="59"/>
      <x:c r="X65" s="59"/>
      <x:c r="Y65" s="59"/>
      <x:c r="Z65" s="59"/>
    </x:row>
    <x:row r="66">
      <x:c r="A66" s="59"/>
      <x:c r="B66" s="59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59"/>
      <x:c r="N66" s="59"/>
      <x:c r="O66" s="59"/>
      <x:c r="P66" s="59"/>
      <x:c r="Q66" s="59"/>
      <x:c r="R66" s="59"/>
      <x:c r="S66" s="59"/>
      <x:c r="T66" s="59"/>
      <x:c r="U66" s="59"/>
      <x:c r="V66" s="59"/>
      <x:c r="W66" s="59"/>
      <x:c r="X66" s="59"/>
      <x:c r="Y66" s="59"/>
      <x:c r="Z66" s="59"/>
    </x:row>
    <x:row r="67">
      <x:c r="A67" s="59"/>
      <x:c r="B67" s="59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59"/>
      <x:c r="N67" s="59"/>
      <x:c r="O67" s="59"/>
      <x:c r="P67" s="59"/>
      <x:c r="Q67" s="59"/>
      <x:c r="R67" s="59"/>
      <x:c r="S67" s="59"/>
      <x:c r="T67" s="59"/>
      <x:c r="U67" s="59"/>
      <x:c r="V67" s="59"/>
      <x:c r="W67" s="59"/>
      <x:c r="X67" s="59"/>
      <x:c r="Y67" s="59"/>
      <x:c r="Z67" s="59"/>
    </x:row>
    <x:row r="68">
      <x:c r="A68" s="59"/>
      <x:c r="B68" s="59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59"/>
      <x:c r="N68" s="59"/>
      <x:c r="O68" s="59"/>
      <x:c r="P68" s="59"/>
      <x:c r="Q68" s="59"/>
      <x:c r="R68" s="59"/>
      <x:c r="S68" s="59"/>
      <x:c r="T68" s="59"/>
      <x:c r="U68" s="59"/>
      <x:c r="V68" s="59"/>
      <x:c r="W68" s="59"/>
      <x:c r="X68" s="59"/>
      <x:c r="Y68" s="59"/>
      <x:c r="Z68" s="59"/>
    </x:row>
    <x:row r="69">
      <x:c r="A69" s="59"/>
      <x:c r="B69" s="59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59"/>
      <x:c r="N69" s="59"/>
      <x:c r="O69" s="59"/>
      <x:c r="P69" s="59"/>
      <x:c r="Q69" s="59"/>
      <x:c r="R69" s="59"/>
      <x:c r="S69" s="59"/>
      <x:c r="T69" s="59"/>
      <x:c r="U69" s="59"/>
      <x:c r="V69" s="59"/>
      <x:c r="W69" s="59"/>
      <x:c r="X69" s="59"/>
      <x:c r="Y69" s="59"/>
      <x:c r="Z69" s="59"/>
    </x:row>
    <x:row r="70">
      <x:c r="A70" s="59"/>
      <x:c r="B70" s="59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59"/>
      <x:c r="N70" s="59"/>
      <x:c r="O70" s="59"/>
      <x:c r="P70" s="59"/>
      <x:c r="Q70" s="59"/>
      <x:c r="R70" s="59"/>
      <x:c r="S70" s="59"/>
      <x:c r="T70" s="59"/>
      <x:c r="U70" s="59"/>
      <x:c r="V70" s="59"/>
      <x:c r="W70" s="59"/>
      <x:c r="X70" s="59"/>
      <x:c r="Y70" s="59"/>
      <x:c r="Z70" s="59"/>
    </x:row>
    <x:row r="71">
      <x:c r="A71" s="59"/>
      <x:c r="B71" s="59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59"/>
      <x:c r="N71" s="59"/>
      <x:c r="O71" s="59"/>
      <x:c r="P71" s="59"/>
      <x:c r="Q71" s="59"/>
      <x:c r="R71" s="59"/>
      <x:c r="S71" s="59"/>
      <x:c r="T71" s="59"/>
      <x:c r="U71" s="59"/>
      <x:c r="V71" s="59"/>
      <x:c r="W71" s="59"/>
      <x:c r="X71" s="59"/>
      <x:c r="Y71" s="59"/>
      <x:c r="Z71" s="59"/>
    </x:row>
    <x:row r="72">
      <x:c r="A72" s="59"/>
      <x:c r="B72" s="59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59"/>
      <x:c r="N72" s="59"/>
      <x:c r="O72" s="59"/>
      <x:c r="P72" s="59"/>
      <x:c r="Q72" s="59"/>
      <x:c r="R72" s="59"/>
      <x:c r="S72" s="59"/>
      <x:c r="T72" s="59"/>
      <x:c r="U72" s="59"/>
      <x:c r="V72" s="59"/>
      <x:c r="W72" s="59"/>
      <x:c r="X72" s="59"/>
      <x:c r="Y72" s="59"/>
      <x:c r="Z72" s="59"/>
    </x:row>
    <x:row r="73">
      <x:c r="A73" s="59"/>
      <x:c r="B73" s="59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59"/>
      <x:c r="N73" s="59"/>
      <x:c r="O73" s="59"/>
      <x:c r="P73" s="59"/>
      <x:c r="Q73" s="59"/>
      <x:c r="R73" s="59"/>
      <x:c r="S73" s="59"/>
      <x:c r="T73" s="59"/>
      <x:c r="U73" s="59"/>
      <x:c r="V73" s="59"/>
      <x:c r="W73" s="59"/>
      <x:c r="X73" s="59"/>
      <x:c r="Y73" s="59"/>
      <x:c r="Z73" s="59"/>
    </x:row>
    <x:row r="74">
      <x:c r="A74" s="59"/>
      <x:c r="B74" s="59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59"/>
      <x:c r="N74" s="59"/>
      <x:c r="O74" s="59"/>
      <x:c r="P74" s="59"/>
      <x:c r="Q74" s="59"/>
      <x:c r="R74" s="59"/>
      <x:c r="S74" s="59"/>
      <x:c r="T74" s="59"/>
      <x:c r="U74" s="59"/>
      <x:c r="V74" s="59"/>
      <x:c r="W74" s="59"/>
      <x:c r="X74" s="59"/>
      <x:c r="Y74" s="59"/>
      <x:c r="Z74" s="59"/>
    </x:row>
    <x:row r="75">
      <x:c r="A75" s="59"/>
      <x:c r="B75" s="59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59"/>
      <x:c r="N75" s="59"/>
      <x:c r="O75" s="59"/>
      <x:c r="P75" s="59"/>
      <x:c r="Q75" s="59"/>
      <x:c r="R75" s="59"/>
      <x:c r="S75" s="59"/>
      <x:c r="T75" s="59"/>
      <x:c r="U75" s="59"/>
      <x:c r="V75" s="59"/>
      <x:c r="W75" s="59"/>
      <x:c r="X75" s="59"/>
      <x:c r="Y75" s="59"/>
      <x:c r="Z75" s="59"/>
    </x:row>
    <x:row r="76">
      <x:c r="A76" s="59"/>
      <x:c r="B76" s="59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59"/>
      <x:c r="N76" s="59"/>
      <x:c r="O76" s="59"/>
      <x:c r="P76" s="59"/>
      <x:c r="Q76" s="59"/>
      <x:c r="R76" s="59"/>
      <x:c r="S76" s="59"/>
      <x:c r="T76" s="59"/>
      <x:c r="U76" s="59"/>
      <x:c r="V76" s="59"/>
      <x:c r="W76" s="59"/>
      <x:c r="X76" s="59"/>
      <x:c r="Y76" s="59"/>
      <x:c r="Z76" s="59"/>
    </x:row>
    <x:row r="77">
      <x:c r="A77" s="59"/>
      <x:c r="B77" s="59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59"/>
      <x:c r="N77" s="59"/>
      <x:c r="O77" s="59"/>
      <x:c r="P77" s="59"/>
      <x:c r="Q77" s="59"/>
      <x:c r="R77" s="59"/>
      <x:c r="S77" s="59"/>
      <x:c r="T77" s="59"/>
      <x:c r="U77" s="59"/>
      <x:c r="V77" s="59"/>
      <x:c r="W77" s="59"/>
      <x:c r="X77" s="59"/>
      <x:c r="Y77" s="59"/>
      <x:c r="Z77" s="59"/>
    </x:row>
    <x:row r="78">
      <x:c r="A78" s="59"/>
      <x:c r="B78" s="59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59"/>
      <x:c r="N78" s="59"/>
      <x:c r="O78" s="59"/>
      <x:c r="P78" s="59"/>
      <x:c r="Q78" s="59"/>
      <x:c r="R78" s="59"/>
      <x:c r="S78" s="59"/>
      <x:c r="T78" s="59"/>
      <x:c r="U78" s="59"/>
      <x:c r="V78" s="59"/>
      <x:c r="W78" s="59"/>
      <x:c r="X78" s="59"/>
      <x:c r="Y78" s="59"/>
      <x:c r="Z78" s="59"/>
    </x:row>
    <x:row r="79">
      <x:c r="A79" s="59"/>
      <x:c r="B79" s="59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59"/>
      <x:c r="N79" s="59"/>
      <x:c r="O79" s="59"/>
      <x:c r="P79" s="59"/>
      <x:c r="Q79" s="59"/>
      <x:c r="R79" s="59"/>
      <x:c r="S79" s="59"/>
      <x:c r="T79" s="59"/>
      <x:c r="U79" s="59"/>
      <x:c r="V79" s="59"/>
      <x:c r="W79" s="59"/>
      <x:c r="X79" s="59"/>
      <x:c r="Y79" s="59"/>
      <x:c r="Z79" s="59"/>
    </x:row>
    <x:row r="80">
      <x:c r="A80" s="59"/>
      <x:c r="B80" s="59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59"/>
      <x:c r="N80" s="59"/>
      <x:c r="O80" s="59"/>
      <x:c r="P80" s="59"/>
      <x:c r="Q80" s="59"/>
      <x:c r="R80" s="59"/>
      <x:c r="S80" s="59"/>
      <x:c r="T80" s="59"/>
      <x:c r="U80" s="59"/>
      <x:c r="V80" s="59"/>
      <x:c r="W80" s="59"/>
      <x:c r="X80" s="59"/>
      <x:c r="Y80" s="59"/>
      <x:c r="Z80" s="59"/>
    </x:row>
    <x:row r="81">
      <x:c r="A81" s="59"/>
      <x:c r="B81" s="59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59"/>
      <x:c r="N81" s="59"/>
      <x:c r="O81" s="59"/>
      <x:c r="P81" s="59"/>
      <x:c r="Q81" s="59"/>
      <x:c r="R81" s="59"/>
      <x:c r="S81" s="59"/>
      <x:c r="T81" s="59"/>
      <x:c r="U81" s="59"/>
      <x:c r="V81" s="59"/>
      <x:c r="W81" s="59"/>
      <x:c r="X81" s="59"/>
      <x:c r="Y81" s="59"/>
      <x:c r="Z81" s="59"/>
    </x:row>
    <x:row r="82">
      <x:c r="A82" s="59"/>
      <x:c r="B82" s="59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59"/>
      <x:c r="N82" s="59"/>
      <x:c r="O82" s="59"/>
      <x:c r="P82" s="59"/>
      <x:c r="Q82" s="59"/>
      <x:c r="R82" s="59"/>
      <x:c r="S82" s="59"/>
      <x:c r="T82" s="59"/>
      <x:c r="U82" s="59"/>
      <x:c r="V82" s="59"/>
      <x:c r="W82" s="59"/>
      <x:c r="X82" s="59"/>
      <x:c r="Y82" s="59"/>
      <x:c r="Z82" s="59"/>
    </x:row>
    <x:row r="83">
      <x:c r="A83" s="59"/>
      <x:c r="B83" s="59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59"/>
      <x:c r="N83" s="59"/>
      <x:c r="O83" s="59"/>
      <x:c r="P83" s="59"/>
      <x:c r="Q83" s="59"/>
      <x:c r="R83" s="59"/>
      <x:c r="S83" s="59"/>
      <x:c r="T83" s="59"/>
      <x:c r="U83" s="59"/>
      <x:c r="V83" s="59"/>
      <x:c r="W83" s="59"/>
      <x:c r="X83" s="59"/>
      <x:c r="Y83" s="59"/>
      <x:c r="Z83" s="59"/>
    </x:row>
    <x:row r="84">
      <x:c r="A84" s="59"/>
      <x:c r="B84" s="59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59"/>
      <x:c r="N84" s="59"/>
      <x:c r="O84" s="59"/>
      <x:c r="P84" s="59"/>
      <x:c r="Q84" s="59"/>
      <x:c r="R84" s="59"/>
      <x:c r="S84" s="59"/>
      <x:c r="T84" s="59"/>
      <x:c r="U84" s="59"/>
      <x:c r="V84" s="59"/>
      <x:c r="W84" s="59"/>
      <x:c r="X84" s="59"/>
      <x:c r="Y84" s="59"/>
      <x:c r="Z84" s="59"/>
    </x:row>
    <x:row r="85">
      <x:c r="A85" s="59"/>
      <x:c r="B85" s="59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59"/>
      <x:c r="N85" s="59"/>
      <x:c r="O85" s="59"/>
      <x:c r="P85" s="59"/>
      <x:c r="Q85" s="59"/>
      <x:c r="R85" s="59"/>
      <x:c r="S85" s="59"/>
      <x:c r="T85" s="59"/>
      <x:c r="U85" s="59"/>
      <x:c r="V85" s="59"/>
      <x:c r="W85" s="59"/>
      <x:c r="X85" s="59"/>
      <x:c r="Y85" s="59"/>
      <x:c r="Z85" s="59"/>
    </x:row>
    <x:row r="86">
      <x:c r="A86" s="59"/>
      <x:c r="B86" s="59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59"/>
      <x:c r="N86" s="59"/>
      <x:c r="O86" s="59"/>
      <x:c r="P86" s="59"/>
      <x:c r="Q86" s="59"/>
      <x:c r="R86" s="59"/>
      <x:c r="S86" s="59"/>
      <x:c r="T86" s="59"/>
      <x:c r="U86" s="59"/>
      <x:c r="V86" s="59"/>
      <x:c r="W86" s="59"/>
      <x:c r="X86" s="59"/>
      <x:c r="Y86" s="59"/>
      <x:c r="Z86" s="59"/>
    </x:row>
    <x:row r="87">
      <x:c r="A87" s="59"/>
      <x:c r="B87" s="59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59"/>
      <x:c r="N87" s="59"/>
      <x:c r="O87" s="59"/>
      <x:c r="P87" s="59"/>
      <x:c r="Q87" s="59"/>
      <x:c r="R87" s="59"/>
      <x:c r="S87" s="59"/>
      <x:c r="T87" s="59"/>
      <x:c r="U87" s="59"/>
      <x:c r="V87" s="59"/>
      <x:c r="W87" s="59"/>
      <x:c r="X87" s="59"/>
      <x:c r="Y87" s="59"/>
      <x:c r="Z87" s="59"/>
    </x:row>
    <x:row r="88">
      <x:c r="A88" s="59"/>
      <x:c r="B88" s="59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59"/>
      <x:c r="N88" s="59"/>
      <x:c r="O88" s="59"/>
      <x:c r="P88" s="59"/>
      <x:c r="Q88" s="59"/>
      <x:c r="R88" s="59"/>
      <x:c r="S88" s="59"/>
      <x:c r="T88" s="59"/>
      <x:c r="U88" s="59"/>
      <x:c r="V88" s="59"/>
      <x:c r="W88" s="59"/>
      <x:c r="X88" s="59"/>
      <x:c r="Y88" s="59"/>
      <x:c r="Z88" s="59"/>
    </x:row>
    <x:row r="89">
      <x:c r="A89" s="59"/>
      <x:c r="B89" s="59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59"/>
      <x:c r="N89" s="59"/>
      <x:c r="O89" s="59"/>
      <x:c r="P89" s="59"/>
      <x:c r="Q89" s="59"/>
      <x:c r="R89" s="59"/>
      <x:c r="S89" s="59"/>
      <x:c r="T89" s="59"/>
      <x:c r="U89" s="59"/>
      <x:c r="V89" s="59"/>
      <x:c r="W89" s="59"/>
      <x:c r="X89" s="59"/>
      <x:c r="Y89" s="59"/>
      <x:c r="Z89" s="59"/>
    </x:row>
    <x:row r="90">
      <x:c r="A90" s="59"/>
      <x:c r="B90" s="59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59"/>
      <x:c r="N90" s="59"/>
      <x:c r="O90" s="59"/>
      <x:c r="P90" s="59"/>
      <x:c r="Q90" s="59"/>
      <x:c r="R90" s="59"/>
      <x:c r="S90" s="59"/>
      <x:c r="T90" s="59"/>
      <x:c r="U90" s="59"/>
      <x:c r="V90" s="59"/>
      <x:c r="W90" s="59"/>
      <x:c r="X90" s="59"/>
      <x:c r="Y90" s="59"/>
      <x:c r="Z90" s="59"/>
    </x:row>
    <x:row r="91">
      <x:c r="A91" s="59"/>
      <x:c r="B91" s="59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59"/>
      <x:c r="N91" s="59"/>
      <x:c r="O91" s="59"/>
      <x:c r="P91" s="59"/>
      <x:c r="Q91" s="59"/>
      <x:c r="R91" s="59"/>
      <x:c r="S91" s="59"/>
      <x:c r="T91" s="59"/>
      <x:c r="U91" s="59"/>
      <x:c r="V91" s="59"/>
      <x:c r="W91" s="59"/>
      <x:c r="X91" s="59"/>
      <x:c r="Y91" s="59"/>
      <x:c r="Z91" s="59"/>
    </x:row>
    <x:row r="92">
      <x:c r="A92" s="59"/>
      <x:c r="B92" s="59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59"/>
      <x:c r="N92" s="59"/>
      <x:c r="O92" s="59"/>
      <x:c r="P92" s="59"/>
      <x:c r="Q92" s="59"/>
      <x:c r="R92" s="59"/>
      <x:c r="S92" s="59"/>
      <x:c r="T92" s="59"/>
      <x:c r="U92" s="59"/>
      <x:c r="V92" s="59"/>
      <x:c r="W92" s="59"/>
      <x:c r="X92" s="59"/>
      <x:c r="Y92" s="59"/>
      <x:c r="Z92" s="59"/>
    </x:row>
    <x:row r="93">
      <x:c r="A93" s="59"/>
      <x:c r="B93" s="59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59"/>
      <x:c r="N93" s="59"/>
      <x:c r="O93" s="59"/>
      <x:c r="P93" s="59"/>
      <x:c r="Q93" s="59"/>
      <x:c r="R93" s="59"/>
      <x:c r="S93" s="59"/>
      <x:c r="T93" s="59"/>
      <x:c r="U93" s="59"/>
      <x:c r="V93" s="59"/>
      <x:c r="W93" s="59"/>
      <x:c r="X93" s="59"/>
      <x:c r="Y93" s="59"/>
      <x:c r="Z93" s="59"/>
    </x:row>
    <x:row r="94">
      <x:c r="A94" s="59"/>
      <x:c r="B94" s="59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59"/>
      <x:c r="N94" s="59"/>
      <x:c r="O94" s="59"/>
      <x:c r="P94" s="59"/>
      <x:c r="Q94" s="59"/>
      <x:c r="R94" s="59"/>
      <x:c r="S94" s="59"/>
      <x:c r="T94" s="59"/>
      <x:c r="U94" s="59"/>
      <x:c r="V94" s="59"/>
      <x:c r="W94" s="59"/>
      <x:c r="X94" s="59"/>
      <x:c r="Y94" s="59"/>
      <x:c r="Z94" s="59"/>
    </x:row>
    <x:row r="95">
      <x:c r="A95" s="59"/>
      <x:c r="B95" s="59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59"/>
      <x:c r="N95" s="59"/>
      <x:c r="O95" s="59"/>
      <x:c r="P95" s="59"/>
      <x:c r="Q95" s="59"/>
      <x:c r="R95" s="59"/>
      <x:c r="S95" s="59"/>
      <x:c r="T95" s="59"/>
      <x:c r="U95" s="59"/>
      <x:c r="V95" s="59"/>
      <x:c r="W95" s="59"/>
      <x:c r="X95" s="59"/>
      <x:c r="Y95" s="59"/>
      <x:c r="Z95" s="59"/>
    </x:row>
    <x:row r="96">
      <x:c r="A96" s="59"/>
      <x:c r="B96" s="59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59"/>
      <x:c r="N96" s="59"/>
      <x:c r="O96" s="59"/>
      <x:c r="P96" s="59"/>
      <x:c r="Q96" s="59"/>
      <x:c r="R96" s="59"/>
      <x:c r="S96" s="59"/>
      <x:c r="T96" s="59"/>
      <x:c r="U96" s="59"/>
      <x:c r="V96" s="59"/>
      <x:c r="W96" s="59"/>
      <x:c r="X96" s="59"/>
      <x:c r="Y96" s="59"/>
      <x:c r="Z96" s="59"/>
    </x:row>
    <x:row r="97">
      <x:c r="A97" s="59"/>
      <x:c r="B97" s="59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59"/>
      <x:c r="N97" s="59"/>
      <x:c r="O97" s="59"/>
      <x:c r="P97" s="59"/>
      <x:c r="Q97" s="59"/>
      <x:c r="R97" s="59"/>
      <x:c r="S97" s="59"/>
      <x:c r="T97" s="59"/>
      <x:c r="U97" s="59"/>
      <x:c r="V97" s="59"/>
      <x:c r="W97" s="59"/>
      <x:c r="X97" s="59"/>
      <x:c r="Y97" s="59"/>
      <x:c r="Z97" s="59"/>
    </x:row>
    <x:row r="98">
      <x:c r="A98" s="59"/>
      <x:c r="B98" s="59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59"/>
      <x:c r="N98" s="59"/>
      <x:c r="O98" s="59"/>
      <x:c r="P98" s="59"/>
      <x:c r="Q98" s="59"/>
      <x:c r="R98" s="59"/>
      <x:c r="S98" s="59"/>
      <x:c r="T98" s="59"/>
      <x:c r="U98" s="59"/>
      <x:c r="V98" s="59"/>
      <x:c r="W98" s="59"/>
      <x:c r="X98" s="59"/>
      <x:c r="Y98" s="59"/>
      <x:c r="Z98" s="59"/>
    </x:row>
    <x:row r="99">
      <x:c r="A99" s="59"/>
      <x:c r="B99" s="59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59"/>
      <x:c r="N99" s="59"/>
      <x:c r="O99" s="59"/>
      <x:c r="P99" s="59"/>
      <x:c r="Q99" s="59"/>
      <x:c r="R99" s="59"/>
      <x:c r="S99" s="59"/>
      <x:c r="T99" s="59"/>
      <x:c r="U99" s="59"/>
      <x:c r="V99" s="59"/>
      <x:c r="W99" s="59"/>
      <x:c r="X99" s="59"/>
      <x:c r="Y99" s="59"/>
      <x:c r="Z99" s="59"/>
    </x:row>
    <x:row r="100">
      <x:c r="A100" s="59"/>
      <x:c r="B100" s="59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59"/>
      <x:c r="N100" s="59"/>
      <x:c r="O100" s="59"/>
      <x:c r="P100" s="59"/>
      <x:c r="Q100" s="59"/>
      <x:c r="R100" s="59"/>
      <x:c r="S100" s="59"/>
      <x:c r="T100" s="59"/>
      <x:c r="U100" s="59"/>
      <x:c r="V100" s="59"/>
      <x:c r="W100" s="59"/>
      <x:c r="X100" s="59"/>
      <x:c r="Y100" s="59"/>
      <x:c r="Z100" s="59"/>
    </x:row>
    <x:row r="101">
      <x:c r="A101" s="59"/>
      <x:c r="B101" s="59"/>
      <x:c r="C101" s="59"/>
      <x:c r="D101" s="59"/>
      <x:c r="E101" s="59"/>
      <x:c r="F101" s="59"/>
      <x:c r="G101" s="59"/>
      <x:c r="H101" s="59"/>
      <x:c r="I101" s="59"/>
      <x:c r="J101" s="59"/>
      <x:c r="K101" s="59"/>
      <x:c r="L101" s="59"/>
      <x:c r="M101" s="59"/>
      <x:c r="N101" s="59"/>
      <x:c r="O101" s="59"/>
      <x:c r="P101" s="59"/>
      <x:c r="Q101" s="59"/>
      <x:c r="R101" s="59"/>
      <x:c r="S101" s="59"/>
      <x:c r="T101" s="59"/>
      <x:c r="U101" s="59"/>
      <x:c r="V101" s="59"/>
      <x:c r="W101" s="59"/>
      <x:c r="X101" s="59"/>
      <x:c r="Y101" s="59"/>
      <x:c r="Z101" s="59"/>
    </x:row>
    <x:row r="102">
      <x:c r="A102" s="59"/>
      <x:c r="B102" s="59"/>
      <x:c r="C102" s="59"/>
      <x:c r="D102" s="59"/>
      <x:c r="E102" s="59"/>
      <x:c r="F102" s="59"/>
      <x:c r="G102" s="59"/>
      <x:c r="H102" s="59"/>
      <x:c r="I102" s="59"/>
      <x:c r="J102" s="59"/>
      <x:c r="K102" s="59"/>
      <x:c r="L102" s="59"/>
      <x:c r="M102" s="59"/>
      <x:c r="N102" s="59"/>
      <x:c r="O102" s="59"/>
      <x:c r="P102" s="59"/>
      <x:c r="Q102" s="59"/>
      <x:c r="R102" s="59"/>
      <x:c r="S102" s="59"/>
      <x:c r="T102" s="59"/>
      <x:c r="U102" s="59"/>
      <x:c r="V102" s="59"/>
      <x:c r="W102" s="59"/>
      <x:c r="X102" s="59"/>
      <x:c r="Y102" s="59"/>
      <x:c r="Z102" s="59"/>
    </x:row>
    <x:row r="103">
      <x:c r="A103" s="59"/>
      <x:c r="B103" s="59"/>
      <x:c r="C103" s="59"/>
      <x:c r="D103" s="59"/>
      <x:c r="E103" s="59"/>
      <x:c r="F103" s="59"/>
      <x:c r="G103" s="59"/>
      <x:c r="H103" s="59"/>
      <x:c r="I103" s="59"/>
      <x:c r="J103" s="59"/>
      <x:c r="K103" s="59"/>
      <x:c r="L103" s="59"/>
      <x:c r="M103" s="59"/>
      <x:c r="N103" s="59"/>
      <x:c r="O103" s="59"/>
      <x:c r="P103" s="59"/>
      <x:c r="Q103" s="59"/>
      <x:c r="R103" s="59"/>
      <x:c r="S103" s="59"/>
      <x:c r="T103" s="59"/>
      <x:c r="U103" s="59"/>
      <x:c r="V103" s="59"/>
      <x:c r="W103" s="59"/>
      <x:c r="X103" s="59"/>
      <x:c r="Y103" s="59"/>
      <x:c r="Z103" s="59"/>
    </x:row>
    <x:row r="104">
      <x:c r="A104" s="59"/>
      <x:c r="B104" s="59"/>
      <x:c r="C104" s="59"/>
      <x:c r="D104" s="59"/>
      <x:c r="E104" s="59"/>
      <x:c r="F104" s="59"/>
      <x:c r="G104" s="59"/>
      <x:c r="H104" s="59"/>
      <x:c r="I104" s="59"/>
      <x:c r="J104" s="59"/>
      <x:c r="K104" s="59"/>
      <x:c r="L104" s="59"/>
      <x:c r="M104" s="59"/>
      <x:c r="N104" s="59"/>
      <x:c r="O104" s="59"/>
      <x:c r="P104" s="59"/>
      <x:c r="Q104" s="59"/>
      <x:c r="R104" s="59"/>
      <x:c r="S104" s="59"/>
      <x:c r="T104" s="59"/>
      <x:c r="U104" s="59"/>
      <x:c r="V104" s="59"/>
      <x:c r="W104" s="59"/>
      <x:c r="X104" s="59"/>
      <x:c r="Y104" s="59"/>
      <x:c r="Z104" s="59"/>
    </x:row>
    <x:row r="105">
      <x:c r="A105" s="59"/>
      <x:c r="B105" s="59"/>
      <x:c r="C105" s="59"/>
      <x:c r="D105" s="59"/>
      <x:c r="E105" s="59"/>
      <x:c r="F105" s="59"/>
      <x:c r="G105" s="59"/>
      <x:c r="H105" s="59"/>
      <x:c r="I105" s="59"/>
      <x:c r="J105" s="59"/>
      <x:c r="K105" s="59"/>
      <x:c r="L105" s="59"/>
      <x:c r="M105" s="59"/>
      <x:c r="N105" s="59"/>
      <x:c r="O105" s="59"/>
      <x:c r="P105" s="59"/>
      <x:c r="Q105" s="59"/>
      <x:c r="R105" s="59"/>
      <x:c r="S105" s="59"/>
      <x:c r="T105" s="59"/>
      <x:c r="U105" s="59"/>
      <x:c r="V105" s="59"/>
      <x:c r="W105" s="59"/>
      <x:c r="X105" s="59"/>
      <x:c r="Y105" s="59"/>
      <x:c r="Z105" s="59"/>
    </x:row>
    <x:row r="106">
      <x:c r="A106" s="59"/>
      <x:c r="B106" s="59"/>
      <x:c r="C106" s="59"/>
      <x:c r="D106" s="59"/>
      <x:c r="E106" s="59"/>
      <x:c r="F106" s="59"/>
      <x:c r="G106" s="59"/>
      <x:c r="H106" s="59"/>
      <x:c r="I106" s="59"/>
      <x:c r="J106" s="59"/>
      <x:c r="K106" s="59"/>
      <x:c r="L106" s="59"/>
      <x:c r="M106" s="59"/>
      <x:c r="N106" s="59"/>
      <x:c r="O106" s="59"/>
      <x:c r="P106" s="59"/>
      <x:c r="Q106" s="59"/>
      <x:c r="R106" s="59"/>
      <x:c r="S106" s="59"/>
      <x:c r="T106" s="59"/>
      <x:c r="U106" s="59"/>
      <x:c r="V106" s="59"/>
      <x:c r="W106" s="59"/>
      <x:c r="X106" s="59"/>
      <x:c r="Y106" s="59"/>
      <x:c r="Z106" s="59"/>
    </x:row>
    <x:row r="107">
      <x:c r="A107" s="59"/>
      <x:c r="B107" s="59"/>
      <x:c r="C107" s="59"/>
      <x:c r="D107" s="59"/>
      <x:c r="E107" s="59"/>
      <x:c r="F107" s="59"/>
      <x:c r="G107" s="59"/>
      <x:c r="H107" s="59"/>
      <x:c r="I107" s="59"/>
      <x:c r="J107" s="59"/>
      <x:c r="K107" s="59"/>
      <x:c r="L107" s="59"/>
      <x:c r="M107" s="59"/>
      <x:c r="N107" s="59"/>
      <x:c r="O107" s="59"/>
      <x:c r="P107" s="59"/>
      <x:c r="Q107" s="59"/>
      <x:c r="R107" s="59"/>
      <x:c r="S107" s="59"/>
      <x:c r="T107" s="59"/>
      <x:c r="U107" s="59"/>
      <x:c r="V107" s="59"/>
      <x:c r="W107" s="59"/>
      <x:c r="X107" s="59"/>
      <x:c r="Y107" s="59"/>
      <x:c r="Z107" s="59"/>
    </x:row>
    <x:row r="108">
      <x:c r="A108" s="59"/>
      <x:c r="B108" s="59"/>
      <x:c r="C108" s="59"/>
      <x:c r="D108" s="59"/>
      <x:c r="E108" s="59"/>
      <x:c r="F108" s="59"/>
      <x:c r="G108" s="59"/>
      <x:c r="H108" s="59"/>
      <x:c r="I108" s="59"/>
      <x:c r="J108" s="59"/>
      <x:c r="K108" s="59"/>
      <x:c r="L108" s="59"/>
      <x:c r="M108" s="59"/>
      <x:c r="N108" s="59"/>
      <x:c r="O108" s="59"/>
      <x:c r="P108" s="59"/>
      <x:c r="Q108" s="59"/>
      <x:c r="R108" s="59"/>
      <x:c r="S108" s="59"/>
      <x:c r="T108" s="59"/>
      <x:c r="U108" s="59"/>
      <x:c r="V108" s="59"/>
      <x:c r="W108" s="59"/>
      <x:c r="X108" s="59"/>
      <x:c r="Y108" s="59"/>
      <x:c r="Z108" s="59"/>
    </x:row>
    <x:row r="109">
      <x:c r="A109" s="59"/>
      <x:c r="B109" s="59"/>
      <x:c r="C109" s="59"/>
      <x:c r="D109" s="59"/>
      <x:c r="E109" s="59"/>
      <x:c r="F109" s="59"/>
      <x:c r="G109" s="59"/>
      <x:c r="H109" s="59"/>
      <x:c r="I109" s="59"/>
      <x:c r="J109" s="59"/>
      <x:c r="K109" s="59"/>
      <x:c r="L109" s="59"/>
      <x:c r="M109" s="59"/>
      <x:c r="N109" s="59"/>
      <x:c r="O109" s="59"/>
      <x:c r="P109" s="59"/>
      <x:c r="Q109" s="59"/>
      <x:c r="R109" s="59"/>
      <x:c r="S109" s="59"/>
      <x:c r="T109" s="59"/>
      <x:c r="U109" s="59"/>
      <x:c r="V109" s="59"/>
      <x:c r="W109" s="59"/>
      <x:c r="X109" s="59"/>
      <x:c r="Y109" s="59"/>
      <x:c r="Z109" s="59"/>
    </x:row>
    <x:row r="110">
      <x:c r="A110" s="59"/>
      <x:c r="B110" s="59"/>
      <x:c r="C110" s="59"/>
      <x:c r="D110" s="59"/>
      <x:c r="E110" s="59"/>
      <x:c r="F110" s="59"/>
      <x:c r="G110" s="59"/>
      <x:c r="H110" s="59"/>
      <x:c r="I110" s="59"/>
      <x:c r="J110" s="59"/>
      <x:c r="K110" s="59"/>
      <x:c r="L110" s="59"/>
      <x:c r="M110" s="59"/>
      <x:c r="N110" s="59"/>
      <x:c r="O110" s="59"/>
      <x:c r="P110" s="59"/>
      <x:c r="Q110" s="59"/>
      <x:c r="R110" s="59"/>
      <x:c r="S110" s="59"/>
      <x:c r="T110" s="59"/>
      <x:c r="U110" s="59"/>
      <x:c r="V110" s="59"/>
      <x:c r="W110" s="59"/>
      <x:c r="X110" s="59"/>
      <x:c r="Y110" s="59"/>
      <x:c r="Z110" s="59"/>
    </x:row>
    <x:row r="111">
      <x:c r="A111" s="59"/>
      <x:c r="B111" s="59"/>
      <x:c r="C111" s="59"/>
      <x:c r="D111" s="59"/>
      <x:c r="E111" s="59"/>
      <x:c r="F111" s="59"/>
      <x:c r="G111" s="59"/>
      <x:c r="H111" s="59"/>
      <x:c r="I111" s="59"/>
      <x:c r="J111" s="59"/>
      <x:c r="K111" s="59"/>
      <x:c r="L111" s="59"/>
      <x:c r="M111" s="59"/>
      <x:c r="N111" s="59"/>
      <x:c r="O111" s="59"/>
      <x:c r="P111" s="59"/>
      <x:c r="Q111" s="59"/>
      <x:c r="R111" s="59"/>
      <x:c r="S111" s="59"/>
      <x:c r="T111" s="59"/>
      <x:c r="U111" s="59"/>
      <x:c r="V111" s="59"/>
      <x:c r="W111" s="59"/>
      <x:c r="X111" s="59"/>
      <x:c r="Y111" s="59"/>
      <x:c r="Z111" s="59"/>
    </x:row>
    <x:row r="112">
      <x:c r="A112" s="59"/>
      <x:c r="B112" s="59"/>
      <x:c r="C112" s="59"/>
      <x:c r="D112" s="59"/>
      <x:c r="E112" s="59"/>
      <x:c r="F112" s="59"/>
      <x:c r="G112" s="59"/>
      <x:c r="H112" s="59"/>
      <x:c r="I112" s="59"/>
      <x:c r="J112" s="59"/>
      <x:c r="K112" s="59"/>
      <x:c r="L112" s="59"/>
      <x:c r="M112" s="59"/>
      <x:c r="N112" s="59"/>
      <x:c r="O112" s="59"/>
      <x:c r="P112" s="59"/>
      <x:c r="Q112" s="59"/>
      <x:c r="R112" s="59"/>
      <x:c r="S112" s="59"/>
      <x:c r="T112" s="59"/>
      <x:c r="U112" s="59"/>
      <x:c r="V112" s="59"/>
      <x:c r="W112" s="59"/>
      <x:c r="X112" s="59"/>
      <x:c r="Y112" s="59"/>
      <x:c r="Z112" s="59"/>
    </x:row>
    <x:row r="113">
      <x:c r="A113" s="59"/>
      <x:c r="B113" s="59"/>
      <x:c r="C113" s="59"/>
      <x:c r="D113" s="59"/>
      <x:c r="E113" s="59"/>
      <x:c r="F113" s="59"/>
      <x:c r="G113" s="59"/>
      <x:c r="H113" s="59"/>
      <x:c r="I113" s="59"/>
      <x:c r="J113" s="59"/>
      <x:c r="K113" s="59"/>
      <x:c r="L113" s="59"/>
      <x:c r="M113" s="59"/>
      <x:c r="N113" s="59"/>
      <x:c r="O113" s="59"/>
      <x:c r="P113" s="59"/>
      <x:c r="Q113" s="59"/>
      <x:c r="R113" s="59"/>
      <x:c r="S113" s="59"/>
      <x:c r="T113" s="59"/>
      <x:c r="U113" s="59"/>
      <x:c r="V113" s="59"/>
      <x:c r="W113" s="59"/>
      <x:c r="X113" s="59"/>
      <x:c r="Y113" s="59"/>
      <x:c r="Z113" s="59"/>
    </x:row>
    <x:row r="114">
      <x:c r="A114" s="59"/>
      <x:c r="B114" s="59"/>
      <x:c r="C114" s="59"/>
      <x:c r="D114" s="59"/>
      <x:c r="E114" s="59"/>
      <x:c r="F114" s="59"/>
      <x:c r="G114" s="59"/>
      <x:c r="H114" s="59"/>
      <x:c r="I114" s="59"/>
      <x:c r="J114" s="59"/>
      <x:c r="K114" s="59"/>
      <x:c r="L114" s="59"/>
      <x:c r="M114" s="59"/>
      <x:c r="N114" s="59"/>
      <x:c r="O114" s="59"/>
      <x:c r="P114" s="59"/>
      <x:c r="Q114" s="59"/>
      <x:c r="R114" s="59"/>
      <x:c r="S114" s="59"/>
      <x:c r="T114" s="59"/>
      <x:c r="U114" s="59"/>
      <x:c r="V114" s="59"/>
      <x:c r="W114" s="59"/>
      <x:c r="X114" s="59"/>
      <x:c r="Y114" s="59"/>
      <x:c r="Z114" s="59"/>
    </x:row>
    <x:row r="115">
      <x:c r="A115" s="59"/>
      <x:c r="B115" s="59"/>
      <x:c r="C115" s="59"/>
      <x:c r="D115" s="59"/>
      <x:c r="E115" s="59"/>
      <x:c r="F115" s="59"/>
      <x:c r="G115" s="59"/>
      <x:c r="H115" s="59"/>
      <x:c r="I115" s="59"/>
      <x:c r="J115" s="59"/>
      <x:c r="K115" s="59"/>
      <x:c r="L115" s="59"/>
      <x:c r="M115" s="59"/>
      <x:c r="N115" s="59"/>
      <x:c r="O115" s="59"/>
      <x:c r="P115" s="59"/>
      <x:c r="Q115" s="59"/>
      <x:c r="R115" s="59"/>
      <x:c r="S115" s="59"/>
      <x:c r="T115" s="59"/>
      <x:c r="U115" s="59"/>
      <x:c r="V115" s="59"/>
      <x:c r="W115" s="59"/>
      <x:c r="X115" s="59"/>
      <x:c r="Y115" s="59"/>
      <x:c r="Z115" s="59"/>
    </x:row>
    <x:row r="116">
      <x:c r="A116" s="59"/>
      <x:c r="B116" s="59"/>
      <x:c r="C116" s="59"/>
      <x:c r="D116" s="59"/>
      <x:c r="E116" s="59"/>
      <x:c r="F116" s="59"/>
      <x:c r="G116" s="59"/>
      <x:c r="H116" s="59"/>
      <x:c r="I116" s="59"/>
      <x:c r="J116" s="59"/>
      <x:c r="K116" s="59"/>
      <x:c r="L116" s="59"/>
      <x:c r="M116" s="59"/>
      <x:c r="N116" s="59"/>
      <x:c r="O116" s="59"/>
      <x:c r="P116" s="59"/>
      <x:c r="Q116" s="59"/>
      <x:c r="R116" s="59"/>
      <x:c r="S116" s="59"/>
      <x:c r="T116" s="59"/>
      <x:c r="U116" s="59"/>
      <x:c r="V116" s="59"/>
      <x:c r="W116" s="59"/>
      <x:c r="X116" s="59"/>
      <x:c r="Y116" s="59"/>
      <x:c r="Z116" s="59"/>
    </x:row>
    <x:row r="117">
      <x:c r="A117" s="59"/>
      <x:c r="B117" s="59"/>
      <x:c r="C117" s="59"/>
      <x:c r="D117" s="59"/>
      <x:c r="E117" s="59"/>
      <x:c r="F117" s="59"/>
      <x:c r="G117" s="59"/>
      <x:c r="H117" s="59"/>
      <x:c r="I117" s="59"/>
      <x:c r="J117" s="59"/>
      <x:c r="K117" s="59"/>
      <x:c r="L117" s="59"/>
      <x:c r="M117" s="59"/>
      <x:c r="N117" s="59"/>
      <x:c r="O117" s="59"/>
      <x:c r="P117" s="59"/>
      <x:c r="Q117" s="59"/>
      <x:c r="R117" s="59"/>
      <x:c r="S117" s="59"/>
      <x:c r="T117" s="59"/>
      <x:c r="U117" s="59"/>
      <x:c r="V117" s="59"/>
      <x:c r="W117" s="59"/>
      <x:c r="X117" s="59"/>
      <x:c r="Y117" s="59"/>
      <x:c r="Z117" s="59"/>
    </x:row>
    <x:row r="118">
      <x:c r="A118" s="59"/>
      <x:c r="B118" s="59"/>
      <x:c r="C118" s="59"/>
      <x:c r="D118" s="59"/>
      <x:c r="E118" s="59"/>
      <x:c r="F118" s="59"/>
      <x:c r="G118" s="59"/>
      <x:c r="H118" s="59"/>
      <x:c r="I118" s="59"/>
      <x:c r="J118" s="59"/>
      <x:c r="K118" s="59"/>
      <x:c r="L118" s="59"/>
      <x:c r="M118" s="59"/>
      <x:c r="N118" s="59"/>
      <x:c r="O118" s="59"/>
      <x:c r="P118" s="59"/>
      <x:c r="Q118" s="59"/>
      <x:c r="R118" s="59"/>
      <x:c r="S118" s="59"/>
      <x:c r="T118" s="59"/>
      <x:c r="U118" s="59"/>
      <x:c r="V118" s="59"/>
      <x:c r="W118" s="59"/>
      <x:c r="X118" s="59"/>
      <x:c r="Y118" s="59"/>
      <x:c r="Z118" s="59"/>
    </x:row>
    <x:row r="119">
      <x:c r="A119" s="59"/>
      <x:c r="B119" s="59"/>
      <x:c r="C119" s="59"/>
      <x:c r="D119" s="59"/>
      <x:c r="E119" s="59"/>
      <x:c r="F119" s="59"/>
      <x:c r="G119" s="59"/>
      <x:c r="H119" s="59"/>
      <x:c r="I119" s="59"/>
      <x:c r="J119" s="59"/>
      <x:c r="K119" s="59"/>
      <x:c r="L119" s="59"/>
      <x:c r="M119" s="59"/>
      <x:c r="N119" s="59"/>
      <x:c r="O119" s="59"/>
      <x:c r="P119" s="59"/>
      <x:c r="Q119" s="59"/>
      <x:c r="R119" s="59"/>
      <x:c r="S119" s="59"/>
      <x:c r="T119" s="59"/>
      <x:c r="U119" s="59"/>
      <x:c r="V119" s="59"/>
      <x:c r="W119" s="59"/>
      <x:c r="X119" s="59"/>
      <x:c r="Y119" s="59"/>
      <x:c r="Z119" s="59"/>
    </x:row>
    <x:row r="120">
      <x:c r="A120" s="59"/>
      <x:c r="B120" s="59"/>
      <x:c r="C120" s="59"/>
      <x:c r="D120" s="59"/>
      <x:c r="E120" s="59"/>
      <x:c r="F120" s="59"/>
      <x:c r="G120" s="59"/>
      <x:c r="H120" s="59"/>
      <x:c r="I120" s="59"/>
      <x:c r="J120" s="59"/>
      <x:c r="K120" s="59"/>
      <x:c r="L120" s="59"/>
      <x:c r="M120" s="59"/>
      <x:c r="N120" s="59"/>
      <x:c r="O120" s="59"/>
      <x:c r="P120" s="59"/>
      <x:c r="Q120" s="59"/>
      <x:c r="R120" s="59"/>
      <x:c r="S120" s="59"/>
      <x:c r="T120" s="59"/>
      <x:c r="U120" s="59"/>
      <x:c r="V120" s="59"/>
      <x:c r="W120" s="59"/>
      <x:c r="X120" s="59"/>
      <x:c r="Y120" s="59"/>
      <x:c r="Z120" s="59"/>
    </x:row>
    <x:row r="121">
      <x:c r="A121" s="59"/>
      <x:c r="B121" s="59"/>
      <x:c r="C121" s="59"/>
      <x:c r="D121" s="59"/>
      <x:c r="E121" s="59"/>
      <x:c r="F121" s="59"/>
      <x:c r="G121" s="59"/>
      <x:c r="H121" s="59"/>
      <x:c r="I121" s="59"/>
      <x:c r="J121" s="59"/>
      <x:c r="K121" s="59"/>
      <x:c r="L121" s="59"/>
      <x:c r="M121" s="59"/>
      <x:c r="N121" s="59"/>
      <x:c r="O121" s="59"/>
      <x:c r="P121" s="59"/>
      <x:c r="Q121" s="59"/>
      <x:c r="R121" s="59"/>
      <x:c r="S121" s="59"/>
      <x:c r="T121" s="59"/>
      <x:c r="U121" s="59"/>
      <x:c r="V121" s="59"/>
      <x:c r="W121" s="59"/>
      <x:c r="X121" s="59"/>
      <x:c r="Y121" s="59"/>
      <x:c r="Z121" s="59"/>
    </x:row>
    <x:row r="122">
      <x:c r="A122" s="59"/>
      <x:c r="B122" s="59"/>
      <x:c r="C122" s="59"/>
      <x:c r="D122" s="59"/>
      <x:c r="E122" s="59"/>
      <x:c r="F122" s="59"/>
      <x:c r="G122" s="59"/>
      <x:c r="H122" s="59"/>
      <x:c r="I122" s="59"/>
      <x:c r="J122" s="59"/>
      <x:c r="K122" s="59"/>
      <x:c r="L122" s="59"/>
      <x:c r="M122" s="59"/>
      <x:c r="N122" s="59"/>
      <x:c r="O122" s="59"/>
      <x:c r="P122" s="59"/>
      <x:c r="Q122" s="59"/>
      <x:c r="R122" s="59"/>
      <x:c r="S122" s="59"/>
      <x:c r="T122" s="59"/>
      <x:c r="U122" s="59"/>
      <x:c r="V122" s="59"/>
      <x:c r="W122" s="59"/>
      <x:c r="X122" s="59"/>
      <x:c r="Y122" s="59"/>
      <x:c r="Z122" s="59"/>
    </x:row>
    <x:row r="123">
      <x:c r="A123" s="59"/>
      <x:c r="B123" s="59"/>
      <x:c r="C123" s="59"/>
      <x:c r="D123" s="59"/>
      <x:c r="E123" s="59"/>
      <x:c r="F123" s="59"/>
      <x:c r="G123" s="59"/>
      <x:c r="H123" s="59"/>
      <x:c r="I123" s="59"/>
      <x:c r="J123" s="59"/>
      <x:c r="K123" s="59"/>
      <x:c r="L123" s="59"/>
      <x:c r="M123" s="59"/>
      <x:c r="N123" s="59"/>
      <x:c r="O123" s="59"/>
      <x:c r="P123" s="59"/>
      <x:c r="Q123" s="59"/>
      <x:c r="R123" s="59"/>
      <x:c r="S123" s="59"/>
      <x:c r="T123" s="59"/>
      <x:c r="U123" s="59"/>
      <x:c r="V123" s="59"/>
      <x:c r="W123" s="59"/>
      <x:c r="X123" s="59"/>
      <x:c r="Y123" s="59"/>
      <x:c r="Z123" s="59"/>
    </x:row>
    <x:row r="124">
      <x:c r="A124" s="59"/>
      <x:c r="B124" s="59"/>
      <x:c r="C124" s="59"/>
      <x:c r="D124" s="59"/>
      <x:c r="E124" s="59"/>
      <x:c r="F124" s="59"/>
      <x:c r="G124" s="59"/>
      <x:c r="H124" s="59"/>
      <x:c r="I124" s="59"/>
      <x:c r="J124" s="59"/>
      <x:c r="K124" s="59"/>
      <x:c r="L124" s="59"/>
      <x:c r="M124" s="59"/>
      <x:c r="N124" s="59"/>
      <x:c r="O124" s="59"/>
      <x:c r="P124" s="59"/>
      <x:c r="Q124" s="59"/>
      <x:c r="R124" s="59"/>
      <x:c r="S124" s="59"/>
      <x:c r="T124" s="59"/>
      <x:c r="U124" s="59"/>
      <x:c r="V124" s="59"/>
      <x:c r="W124" s="59"/>
      <x:c r="X124" s="59"/>
      <x:c r="Y124" s="59"/>
      <x:c r="Z124" s="59"/>
    </x:row>
    <x:row r="125">
      <x:c r="A125" s="59"/>
      <x:c r="B125" s="59"/>
      <x:c r="C125" s="59"/>
      <x:c r="D125" s="59"/>
      <x:c r="E125" s="59"/>
      <x:c r="F125" s="59"/>
      <x:c r="G125" s="59"/>
      <x:c r="H125" s="59"/>
      <x:c r="I125" s="59"/>
      <x:c r="J125" s="59"/>
      <x:c r="K125" s="59"/>
      <x:c r="L125" s="59"/>
      <x:c r="M125" s="59"/>
      <x:c r="N125" s="59"/>
      <x:c r="O125" s="59"/>
      <x:c r="P125" s="59"/>
      <x:c r="Q125" s="59"/>
      <x:c r="R125" s="59"/>
      <x:c r="S125" s="59"/>
      <x:c r="T125" s="59"/>
      <x:c r="U125" s="59"/>
      <x:c r="V125" s="59"/>
      <x:c r="W125" s="59"/>
      <x:c r="X125" s="59"/>
      <x:c r="Y125" s="59"/>
      <x:c r="Z125" s="59"/>
    </x:row>
    <x:row r="126">
      <x:c r="A126" s="59"/>
      <x:c r="B126" s="59"/>
      <x:c r="C126" s="59"/>
      <x:c r="D126" s="59"/>
      <x:c r="E126" s="59"/>
      <x:c r="F126" s="59"/>
      <x:c r="G126" s="59"/>
      <x:c r="H126" s="59"/>
      <x:c r="I126" s="59"/>
      <x:c r="J126" s="59"/>
      <x:c r="K126" s="59"/>
      <x:c r="L126" s="59"/>
      <x:c r="M126" s="59"/>
      <x:c r="N126" s="59"/>
      <x:c r="O126" s="59"/>
      <x:c r="P126" s="59"/>
      <x:c r="Q126" s="59"/>
      <x:c r="R126" s="59"/>
      <x:c r="S126" s="59"/>
      <x:c r="T126" s="59"/>
      <x:c r="U126" s="59"/>
      <x:c r="V126" s="59"/>
      <x:c r="W126" s="59"/>
      <x:c r="X126" s="59"/>
      <x:c r="Y126" s="59"/>
      <x:c r="Z126" s="59"/>
    </x:row>
    <x:row r="127">
      <x:c r="A127" s="59"/>
      <x:c r="B127" s="59"/>
      <x:c r="C127" s="59"/>
      <x:c r="D127" s="59"/>
      <x:c r="E127" s="59"/>
      <x:c r="F127" s="59"/>
      <x:c r="G127" s="59"/>
      <x:c r="H127" s="59"/>
      <x:c r="I127" s="59"/>
      <x:c r="J127" s="59"/>
      <x:c r="K127" s="59"/>
      <x:c r="L127" s="59"/>
      <x:c r="M127" s="59"/>
      <x:c r="N127" s="59"/>
      <x:c r="O127" s="59"/>
      <x:c r="P127" s="59"/>
      <x:c r="Q127" s="59"/>
      <x:c r="R127" s="59"/>
      <x:c r="S127" s="59"/>
      <x:c r="T127" s="59"/>
      <x:c r="U127" s="59"/>
      <x:c r="V127" s="59"/>
      <x:c r="W127" s="59"/>
      <x:c r="X127" s="59"/>
      <x:c r="Y127" s="59"/>
      <x:c r="Z127" s="59"/>
    </x:row>
    <x:row r="128">
      <x:c r="A128" s="59"/>
      <x:c r="B128" s="59"/>
      <x:c r="C128" s="59"/>
      <x:c r="D128" s="59"/>
      <x:c r="E128" s="59"/>
      <x:c r="F128" s="59"/>
      <x:c r="G128" s="59"/>
      <x:c r="H128" s="59"/>
      <x:c r="I128" s="59"/>
      <x:c r="J128" s="59"/>
      <x:c r="K128" s="59"/>
      <x:c r="L128" s="59"/>
      <x:c r="M128" s="59"/>
      <x:c r="N128" s="59"/>
      <x:c r="O128" s="59"/>
      <x:c r="P128" s="59"/>
      <x:c r="Q128" s="59"/>
      <x:c r="R128" s="59"/>
      <x:c r="S128" s="59"/>
      <x:c r="T128" s="59"/>
      <x:c r="U128" s="59"/>
      <x:c r="V128" s="59"/>
      <x:c r="W128" s="59"/>
      <x:c r="X128" s="59"/>
      <x:c r="Y128" s="59"/>
      <x:c r="Z128" s="59"/>
    </x:row>
    <x:row r="129">
      <x:c r="A129" s="59"/>
      <x:c r="B129" s="59"/>
      <x:c r="C129" s="59"/>
      <x:c r="D129" s="59"/>
      <x:c r="E129" s="59"/>
      <x:c r="F129" s="59"/>
      <x:c r="G129" s="59"/>
      <x:c r="H129" s="59"/>
      <x:c r="I129" s="59"/>
      <x:c r="J129" s="59"/>
      <x:c r="K129" s="59"/>
      <x:c r="L129" s="59"/>
      <x:c r="M129" s="59"/>
      <x:c r="N129" s="59"/>
      <x:c r="O129" s="59"/>
      <x:c r="P129" s="59"/>
      <x:c r="Q129" s="59"/>
      <x:c r="R129" s="59"/>
      <x:c r="S129" s="59"/>
      <x:c r="T129" s="59"/>
      <x:c r="U129" s="59"/>
      <x:c r="V129" s="59"/>
      <x:c r="W129" s="59"/>
      <x:c r="X129" s="59"/>
      <x:c r="Y129" s="59"/>
      <x:c r="Z129" s="59"/>
    </x:row>
    <x:row r="130">
      <x:c r="A130" s="59"/>
      <x:c r="B130" s="59"/>
      <x:c r="C130" s="59"/>
      <x:c r="D130" s="59"/>
      <x:c r="E130" s="59"/>
      <x:c r="F130" s="59"/>
      <x:c r="G130" s="59"/>
      <x:c r="H130" s="59"/>
      <x:c r="I130" s="59"/>
      <x:c r="J130" s="59"/>
      <x:c r="K130" s="59"/>
      <x:c r="L130" s="59"/>
      <x:c r="M130" s="59"/>
      <x:c r="N130" s="59"/>
      <x:c r="O130" s="59"/>
      <x:c r="P130" s="59"/>
      <x:c r="Q130" s="59"/>
      <x:c r="R130" s="59"/>
      <x:c r="S130" s="59"/>
      <x:c r="T130" s="59"/>
      <x:c r="U130" s="59"/>
      <x:c r="V130" s="59"/>
      <x:c r="W130" s="59"/>
      <x:c r="X130" s="59"/>
      <x:c r="Y130" s="59"/>
      <x:c r="Z130" s="59"/>
    </x:row>
    <x:row r="131">
      <x:c r="A131" s="59"/>
      <x:c r="B131" s="59"/>
      <x:c r="C131" s="59"/>
      <x:c r="D131" s="59"/>
      <x:c r="E131" s="59"/>
      <x:c r="F131" s="59"/>
      <x:c r="G131" s="59"/>
      <x:c r="H131" s="59"/>
      <x:c r="I131" s="59"/>
      <x:c r="J131" s="59"/>
      <x:c r="K131" s="59"/>
      <x:c r="L131" s="59"/>
      <x:c r="M131" s="59"/>
      <x:c r="N131" s="59"/>
      <x:c r="O131" s="59"/>
      <x:c r="P131" s="59"/>
      <x:c r="Q131" s="59"/>
      <x:c r="R131" s="59"/>
      <x:c r="S131" s="59"/>
      <x:c r="T131" s="59"/>
      <x:c r="U131" s="59"/>
      <x:c r="V131" s="59"/>
      <x:c r="W131" s="59"/>
      <x:c r="X131" s="59"/>
      <x:c r="Y131" s="59"/>
      <x:c r="Z131" s="59"/>
    </x:row>
    <x:row r="132">
      <x:c r="A132" s="59"/>
      <x:c r="B132" s="59"/>
      <x:c r="C132" s="59"/>
      <x:c r="D132" s="59"/>
      <x:c r="E132" s="59"/>
      <x:c r="F132" s="59"/>
      <x:c r="G132" s="59"/>
      <x:c r="H132" s="59"/>
      <x:c r="I132" s="59"/>
      <x:c r="J132" s="59"/>
      <x:c r="K132" s="59"/>
      <x:c r="L132" s="59"/>
      <x:c r="M132" s="59"/>
      <x:c r="N132" s="59"/>
      <x:c r="O132" s="59"/>
      <x:c r="P132" s="59"/>
      <x:c r="Q132" s="59"/>
      <x:c r="R132" s="59"/>
      <x:c r="S132" s="59"/>
      <x:c r="T132" s="59"/>
      <x:c r="U132" s="59"/>
      <x:c r="V132" s="59"/>
      <x:c r="W132" s="59"/>
      <x:c r="X132" s="59"/>
      <x:c r="Y132" s="59"/>
      <x:c r="Z132" s="59"/>
    </x:row>
    <x:row r="133">
      <x:c r="A133" s="59"/>
      <x:c r="B133" s="59"/>
      <x:c r="C133" s="59"/>
      <x:c r="D133" s="59"/>
      <x:c r="E133" s="59"/>
      <x:c r="F133" s="59"/>
      <x:c r="G133" s="59"/>
      <x:c r="H133" s="59"/>
      <x:c r="I133" s="59"/>
      <x:c r="J133" s="59"/>
      <x:c r="K133" s="59"/>
      <x:c r="L133" s="59"/>
      <x:c r="M133" s="59"/>
      <x:c r="N133" s="59"/>
      <x:c r="O133" s="59"/>
      <x:c r="P133" s="59"/>
      <x:c r="Q133" s="59"/>
      <x:c r="R133" s="59"/>
      <x:c r="S133" s="59"/>
      <x:c r="T133" s="59"/>
      <x:c r="U133" s="59"/>
      <x:c r="V133" s="59"/>
      <x:c r="W133" s="59"/>
      <x:c r="X133" s="59"/>
      <x:c r="Y133" s="59"/>
      <x:c r="Z133" s="59"/>
    </x:row>
    <x:row r="134">
      <x:c r="A134" s="59"/>
      <x:c r="B134" s="59"/>
      <x:c r="C134" s="59"/>
      <x:c r="D134" s="59"/>
      <x:c r="E134" s="59"/>
      <x:c r="F134" s="59"/>
      <x:c r="G134" s="59"/>
      <x:c r="H134" s="59"/>
      <x:c r="I134" s="59"/>
      <x:c r="J134" s="59"/>
      <x:c r="K134" s="59"/>
      <x:c r="L134" s="59"/>
      <x:c r="M134" s="59"/>
      <x:c r="N134" s="59"/>
      <x:c r="O134" s="59"/>
      <x:c r="P134" s="59"/>
      <x:c r="Q134" s="59"/>
      <x:c r="R134" s="59"/>
      <x:c r="S134" s="59"/>
      <x:c r="T134" s="59"/>
      <x:c r="U134" s="59"/>
      <x:c r="V134" s="59"/>
      <x:c r="W134" s="59"/>
      <x:c r="X134" s="59"/>
      <x:c r="Y134" s="59"/>
      <x:c r="Z134" s="59"/>
    </x:row>
    <x:row r="135">
      <x:c r="A135" s="59"/>
      <x:c r="B135" s="59"/>
      <x:c r="C135" s="59"/>
      <x:c r="D135" s="59"/>
      <x:c r="E135" s="59"/>
      <x:c r="F135" s="59"/>
      <x:c r="G135" s="59"/>
      <x:c r="H135" s="59"/>
      <x:c r="I135" s="59"/>
      <x:c r="J135" s="59"/>
      <x:c r="K135" s="59"/>
      <x:c r="L135" s="59"/>
      <x:c r="M135" s="59"/>
      <x:c r="N135" s="59"/>
      <x:c r="O135" s="59"/>
      <x:c r="P135" s="59"/>
      <x:c r="Q135" s="59"/>
      <x:c r="R135" s="59"/>
      <x:c r="S135" s="59"/>
      <x:c r="T135" s="59"/>
      <x:c r="U135" s="59"/>
      <x:c r="V135" s="59"/>
      <x:c r="W135" s="59"/>
      <x:c r="X135" s="59"/>
      <x:c r="Y135" s="59"/>
      <x:c r="Z135" s="59"/>
    </x:row>
    <x:row r="136">
      <x:c r="A136" s="59"/>
      <x:c r="B136" s="59"/>
      <x:c r="C136" s="59"/>
      <x:c r="D136" s="59"/>
      <x:c r="E136" s="59"/>
      <x:c r="F136" s="59"/>
      <x:c r="G136" s="59"/>
      <x:c r="H136" s="59"/>
      <x:c r="I136" s="59"/>
      <x:c r="J136" s="59"/>
      <x:c r="K136" s="59"/>
      <x:c r="L136" s="59"/>
      <x:c r="M136" s="59"/>
      <x:c r="N136" s="59"/>
      <x:c r="O136" s="59"/>
      <x:c r="P136" s="59"/>
      <x:c r="Q136" s="59"/>
      <x:c r="R136" s="59"/>
      <x:c r="S136" s="59"/>
      <x:c r="T136" s="59"/>
      <x:c r="U136" s="59"/>
      <x:c r="V136" s="59"/>
      <x:c r="W136" s="59"/>
      <x:c r="X136" s="59"/>
      <x:c r="Y136" s="59"/>
      <x:c r="Z136" s="59"/>
    </x:row>
    <x:row r="137">
      <x:c r="A137" s="59"/>
      <x:c r="B137" s="59"/>
      <x:c r="C137" s="59"/>
      <x:c r="D137" s="59"/>
      <x:c r="E137" s="59"/>
      <x:c r="F137" s="59"/>
      <x:c r="G137" s="59"/>
      <x:c r="H137" s="59"/>
      <x:c r="I137" s="59"/>
      <x:c r="J137" s="59"/>
      <x:c r="K137" s="59"/>
      <x:c r="L137" s="59"/>
      <x:c r="M137" s="59"/>
      <x:c r="N137" s="59"/>
      <x:c r="O137" s="59"/>
      <x:c r="P137" s="59"/>
      <x:c r="Q137" s="59"/>
      <x:c r="R137" s="59"/>
      <x:c r="S137" s="59"/>
      <x:c r="T137" s="59"/>
      <x:c r="U137" s="59"/>
      <x:c r="V137" s="59"/>
      <x:c r="W137" s="59"/>
      <x:c r="X137" s="59"/>
      <x:c r="Y137" s="59"/>
      <x:c r="Z137" s="59"/>
    </x:row>
    <x:row r="138">
      <x:c r="A138" s="59"/>
      <x:c r="B138" s="59"/>
      <x:c r="C138" s="59"/>
      <x:c r="D138" s="59"/>
      <x:c r="E138" s="59"/>
      <x:c r="F138" s="59"/>
      <x:c r="G138" s="59"/>
      <x:c r="H138" s="59"/>
      <x:c r="I138" s="59"/>
      <x:c r="J138" s="59"/>
      <x:c r="K138" s="59"/>
      <x:c r="L138" s="59"/>
      <x:c r="M138" s="59"/>
      <x:c r="N138" s="59"/>
      <x:c r="O138" s="59"/>
      <x:c r="P138" s="59"/>
      <x:c r="Q138" s="59"/>
      <x:c r="R138" s="59"/>
      <x:c r="S138" s="59"/>
      <x:c r="T138" s="59"/>
      <x:c r="U138" s="59"/>
      <x:c r="V138" s="59"/>
      <x:c r="W138" s="59"/>
      <x:c r="X138" s="59"/>
      <x:c r="Y138" s="59"/>
      <x:c r="Z138" s="59"/>
    </x:row>
    <x:row r="139">
      <x:c r="A139" s="59"/>
      <x:c r="B139" s="59"/>
      <x:c r="C139" s="59"/>
      <x:c r="D139" s="59"/>
      <x:c r="E139" s="59"/>
      <x:c r="F139" s="59"/>
      <x:c r="G139" s="59"/>
      <x:c r="H139" s="59"/>
      <x:c r="I139" s="59"/>
      <x:c r="J139" s="59"/>
      <x:c r="K139" s="59"/>
      <x:c r="L139" s="59"/>
      <x:c r="M139" s="59"/>
      <x:c r="N139" s="59"/>
      <x:c r="O139" s="59"/>
      <x:c r="P139" s="59"/>
      <x:c r="Q139" s="59"/>
      <x:c r="R139" s="59"/>
      <x:c r="S139" s="59"/>
      <x:c r="T139" s="59"/>
      <x:c r="U139" s="59"/>
      <x:c r="V139" s="59"/>
      <x:c r="W139" s="59"/>
      <x:c r="X139" s="59"/>
      <x:c r="Y139" s="59"/>
      <x:c r="Z139" s="59"/>
    </x:row>
    <x:row r="140">
      <x:c r="A140" s="59"/>
      <x:c r="B140" s="59"/>
      <x:c r="C140" s="59"/>
      <x:c r="D140" s="59"/>
      <x:c r="E140" s="59"/>
      <x:c r="F140" s="59"/>
      <x:c r="G140" s="59"/>
      <x:c r="H140" s="59"/>
      <x:c r="I140" s="59"/>
      <x:c r="J140" s="59"/>
      <x:c r="K140" s="59"/>
      <x:c r="L140" s="59"/>
      <x:c r="M140" s="59"/>
      <x:c r="N140" s="59"/>
      <x:c r="O140" s="59"/>
      <x:c r="P140" s="59"/>
      <x:c r="Q140" s="59"/>
      <x:c r="R140" s="59"/>
      <x:c r="S140" s="59"/>
      <x:c r="T140" s="59"/>
      <x:c r="U140" s="59"/>
      <x:c r="V140" s="59"/>
      <x:c r="W140" s="59"/>
      <x:c r="X140" s="59"/>
      <x:c r="Y140" s="59"/>
      <x:c r="Z140" s="59"/>
    </x:row>
    <x:row r="141">
      <x:c r="A141" s="59"/>
      <x:c r="B141" s="59"/>
      <x:c r="C141" s="59"/>
      <x:c r="D141" s="59"/>
      <x:c r="E141" s="59"/>
      <x:c r="F141" s="59"/>
      <x:c r="G141" s="59"/>
      <x:c r="H141" s="59"/>
      <x:c r="I141" s="59"/>
      <x:c r="J141" s="59"/>
      <x:c r="K141" s="59"/>
      <x:c r="L141" s="59"/>
      <x:c r="M141" s="59"/>
      <x:c r="N141" s="59"/>
      <x:c r="O141" s="59"/>
      <x:c r="P141" s="59"/>
      <x:c r="Q141" s="59"/>
      <x:c r="R141" s="59"/>
      <x:c r="S141" s="59"/>
      <x:c r="T141" s="59"/>
      <x:c r="U141" s="59"/>
      <x:c r="V141" s="59"/>
      <x:c r="W141" s="59"/>
      <x:c r="X141" s="59"/>
      <x:c r="Y141" s="59"/>
      <x:c r="Z141" s="59"/>
    </x:row>
    <x:row r="142">
      <x:c r="A142" s="59"/>
      <x:c r="B142" s="59"/>
      <x:c r="C142" s="59"/>
      <x:c r="D142" s="59"/>
      <x:c r="E142" s="59"/>
      <x:c r="F142" s="59"/>
      <x:c r="G142" s="59"/>
      <x:c r="H142" s="59"/>
      <x:c r="I142" s="59"/>
      <x:c r="J142" s="59"/>
      <x:c r="K142" s="59"/>
      <x:c r="L142" s="59"/>
      <x:c r="M142" s="59"/>
      <x:c r="N142" s="59"/>
      <x:c r="O142" s="59"/>
      <x:c r="P142" s="59"/>
      <x:c r="Q142" s="59"/>
      <x:c r="R142" s="59"/>
      <x:c r="S142" s="59"/>
      <x:c r="T142" s="59"/>
      <x:c r="U142" s="59"/>
      <x:c r="V142" s="59"/>
      <x:c r="W142" s="59"/>
      <x:c r="X142" s="59"/>
      <x:c r="Y142" s="59"/>
      <x:c r="Z142" s="59"/>
    </x:row>
    <x:row r="143">
      <x:c r="A143" s="59"/>
      <x:c r="B143" s="59"/>
      <x:c r="C143" s="59"/>
      <x:c r="D143" s="59"/>
      <x:c r="E143" s="59"/>
      <x:c r="F143" s="59"/>
      <x:c r="G143" s="59"/>
      <x:c r="H143" s="59"/>
      <x:c r="I143" s="59"/>
      <x:c r="J143" s="59"/>
      <x:c r="K143" s="59"/>
      <x:c r="L143" s="59"/>
      <x:c r="M143" s="59"/>
      <x:c r="N143" s="59"/>
      <x:c r="O143" s="59"/>
      <x:c r="P143" s="59"/>
      <x:c r="Q143" s="59"/>
      <x:c r="R143" s="59"/>
      <x:c r="S143" s="59"/>
      <x:c r="T143" s="59"/>
      <x:c r="U143" s="59"/>
      <x:c r="V143" s="59"/>
      <x:c r="W143" s="59"/>
      <x:c r="X143" s="59"/>
      <x:c r="Y143" s="59"/>
      <x:c r="Z143" s="59"/>
    </x:row>
    <x:row r="144">
      <x:c r="A144" s="59"/>
      <x:c r="B144" s="59"/>
      <x:c r="C144" s="59"/>
      <x:c r="D144" s="59"/>
      <x:c r="E144" s="59"/>
      <x:c r="F144" s="59"/>
      <x:c r="G144" s="59"/>
      <x:c r="H144" s="59"/>
      <x:c r="I144" s="59"/>
      <x:c r="J144" s="59"/>
      <x:c r="K144" s="59"/>
      <x:c r="L144" s="59"/>
      <x:c r="M144" s="59"/>
      <x:c r="N144" s="59"/>
      <x:c r="O144" s="59"/>
      <x:c r="P144" s="59"/>
      <x:c r="Q144" s="59"/>
      <x:c r="R144" s="59"/>
      <x:c r="S144" s="59"/>
      <x:c r="T144" s="59"/>
      <x:c r="U144" s="59"/>
      <x:c r="V144" s="59"/>
      <x:c r="W144" s="59"/>
      <x:c r="X144" s="59"/>
      <x:c r="Y144" s="59"/>
      <x:c r="Z144" s="59"/>
    </x:row>
    <x:row r="145">
      <x:c r="A145" s="59"/>
      <x:c r="B145" s="59"/>
      <x:c r="C145" s="59"/>
      <x:c r="D145" s="59"/>
      <x:c r="E145" s="59"/>
      <x:c r="F145" s="59"/>
      <x:c r="G145" s="59"/>
      <x:c r="H145" s="59"/>
      <x:c r="I145" s="59"/>
      <x:c r="J145" s="59"/>
      <x:c r="K145" s="59"/>
      <x:c r="L145" s="59"/>
      <x:c r="M145" s="59"/>
      <x:c r="N145" s="59"/>
      <x:c r="O145" s="59"/>
      <x:c r="P145" s="59"/>
      <x:c r="Q145" s="59"/>
      <x:c r="R145" s="59"/>
      <x:c r="S145" s="59"/>
      <x:c r="T145" s="59"/>
      <x:c r="U145" s="59"/>
      <x:c r="V145" s="59"/>
      <x:c r="W145" s="59"/>
      <x:c r="X145" s="59"/>
      <x:c r="Y145" s="59"/>
      <x:c r="Z145" s="59"/>
    </x:row>
    <x:row r="146">
      <x:c r="A146" s="59"/>
      <x:c r="B146" s="59"/>
      <x:c r="C146" s="59"/>
      <x:c r="D146" s="59"/>
      <x:c r="E146" s="59"/>
      <x:c r="F146" s="59"/>
      <x:c r="G146" s="59"/>
      <x:c r="H146" s="59"/>
      <x:c r="I146" s="59"/>
      <x:c r="J146" s="59"/>
      <x:c r="K146" s="59"/>
      <x:c r="L146" s="59"/>
      <x:c r="M146" s="59"/>
      <x:c r="N146" s="59"/>
      <x:c r="O146" s="59"/>
      <x:c r="P146" s="59"/>
      <x:c r="Q146" s="59"/>
      <x:c r="R146" s="59"/>
      <x:c r="S146" s="59"/>
      <x:c r="T146" s="59"/>
      <x:c r="U146" s="59"/>
      <x:c r="V146" s="59"/>
      <x:c r="W146" s="59"/>
      <x:c r="X146" s="59"/>
      <x:c r="Y146" s="59"/>
      <x:c r="Z146" s="59"/>
    </x:row>
    <x:row r="147">
      <x:c r="A147" s="59"/>
      <x:c r="B147" s="59"/>
      <x:c r="C147" s="59"/>
      <x:c r="D147" s="59"/>
      <x:c r="E147" s="59"/>
      <x:c r="F147" s="59"/>
      <x:c r="G147" s="59"/>
      <x:c r="H147" s="59"/>
      <x:c r="I147" s="59"/>
      <x:c r="J147" s="59"/>
      <x:c r="K147" s="59"/>
      <x:c r="L147" s="59"/>
      <x:c r="M147" s="59"/>
      <x:c r="N147" s="59"/>
      <x:c r="O147" s="59"/>
      <x:c r="P147" s="59"/>
      <x:c r="Q147" s="59"/>
      <x:c r="R147" s="59"/>
      <x:c r="S147" s="59"/>
      <x:c r="T147" s="59"/>
      <x:c r="U147" s="59"/>
      <x:c r="V147" s="59"/>
      <x:c r="W147" s="59"/>
      <x:c r="X147" s="59"/>
      <x:c r="Y147" s="59"/>
      <x:c r="Z147" s="59"/>
    </x:row>
    <x:row r="148">
      <x:c r="A148" s="59"/>
      <x:c r="B148" s="59"/>
      <x:c r="C148" s="59"/>
      <x:c r="D148" s="59"/>
      <x:c r="E148" s="59"/>
      <x:c r="F148" s="59"/>
      <x:c r="G148" s="59"/>
      <x:c r="H148" s="59"/>
      <x:c r="I148" s="59"/>
      <x:c r="J148" s="59"/>
      <x:c r="K148" s="59"/>
      <x:c r="L148" s="59"/>
      <x:c r="M148" s="59"/>
      <x:c r="N148" s="59"/>
      <x:c r="O148" s="59"/>
      <x:c r="P148" s="59"/>
      <x:c r="Q148" s="59"/>
      <x:c r="R148" s="59"/>
      <x:c r="S148" s="59"/>
      <x:c r="T148" s="59"/>
      <x:c r="U148" s="59"/>
      <x:c r="V148" s="59"/>
      <x:c r="W148" s="59"/>
      <x:c r="X148" s="59"/>
      <x:c r="Y148" s="59"/>
      <x:c r="Z148" s="59"/>
    </x:row>
    <x:row r="149">
      <x:c r="A149" s="59"/>
      <x:c r="B149" s="59"/>
      <x:c r="C149" s="59"/>
      <x:c r="D149" s="59"/>
      <x:c r="E149" s="59"/>
      <x:c r="F149" s="59"/>
      <x:c r="G149" s="59"/>
      <x:c r="H149" s="59"/>
      <x:c r="I149" s="59"/>
      <x:c r="J149" s="59"/>
      <x:c r="K149" s="59"/>
      <x:c r="L149" s="59"/>
      <x:c r="M149" s="59"/>
      <x:c r="N149" s="59"/>
      <x:c r="O149" s="59"/>
      <x:c r="P149" s="59"/>
      <x:c r="Q149" s="59"/>
      <x:c r="R149" s="59"/>
      <x:c r="S149" s="59"/>
      <x:c r="T149" s="59"/>
      <x:c r="U149" s="59"/>
      <x:c r="V149" s="59"/>
      <x:c r="W149" s="59"/>
      <x:c r="X149" s="59"/>
      <x:c r="Y149" s="59"/>
      <x:c r="Z149" s="59"/>
    </x:row>
    <x:row r="150">
      <x:c r="A150" s="59"/>
      <x:c r="B150" s="59"/>
      <x:c r="C150" s="59"/>
      <x:c r="D150" s="59"/>
      <x:c r="E150" s="59"/>
      <x:c r="F150" s="59"/>
      <x:c r="G150" s="59"/>
      <x:c r="H150" s="59"/>
      <x:c r="I150" s="59"/>
      <x:c r="J150" s="59"/>
      <x:c r="K150" s="59"/>
      <x:c r="L150" s="59"/>
      <x:c r="M150" s="59"/>
      <x:c r="N150" s="59"/>
      <x:c r="O150" s="59"/>
      <x:c r="P150" s="59"/>
      <x:c r="Q150" s="59"/>
      <x:c r="R150" s="59"/>
      <x:c r="S150" s="59"/>
      <x:c r="T150" s="59"/>
      <x:c r="U150" s="59"/>
      <x:c r="V150" s="59"/>
      <x:c r="W150" s="59"/>
      <x:c r="X150" s="59"/>
      <x:c r="Y150" s="59"/>
      <x:c r="Z150" s="59"/>
    </x:row>
    <x:row r="151">
      <x:c r="A151" s="59"/>
      <x:c r="B151" s="59"/>
      <x:c r="C151" s="59"/>
      <x:c r="D151" s="59"/>
      <x:c r="E151" s="59"/>
      <x:c r="F151" s="59"/>
      <x:c r="G151" s="59"/>
      <x:c r="H151" s="59"/>
      <x:c r="I151" s="59"/>
      <x:c r="J151" s="59"/>
      <x:c r="K151" s="59"/>
      <x:c r="L151" s="59"/>
      <x:c r="M151" s="59"/>
      <x:c r="N151" s="59"/>
      <x:c r="O151" s="59"/>
      <x:c r="P151" s="59"/>
      <x:c r="Q151" s="59"/>
      <x:c r="R151" s="59"/>
      <x:c r="S151" s="59"/>
      <x:c r="T151" s="59"/>
      <x:c r="U151" s="59"/>
      <x:c r="V151" s="59"/>
      <x:c r="W151" s="59"/>
      <x:c r="X151" s="59"/>
      <x:c r="Y151" s="59"/>
      <x:c r="Z151" s="59"/>
    </x:row>
    <x:row r="152">
      <x:c r="A152" s="59"/>
      <x:c r="B152" s="59"/>
      <x:c r="C152" s="59"/>
      <x:c r="D152" s="59"/>
      <x:c r="E152" s="59"/>
      <x:c r="F152" s="59"/>
      <x:c r="G152" s="59"/>
      <x:c r="H152" s="59"/>
      <x:c r="I152" s="59"/>
      <x:c r="J152" s="59"/>
      <x:c r="K152" s="59"/>
      <x:c r="L152" s="59"/>
      <x:c r="M152" s="59"/>
      <x:c r="N152" s="59"/>
      <x:c r="O152" s="59"/>
      <x:c r="P152" s="59"/>
      <x:c r="Q152" s="59"/>
      <x:c r="R152" s="59"/>
      <x:c r="S152" s="59"/>
      <x:c r="T152" s="59"/>
      <x:c r="U152" s="59"/>
      <x:c r="V152" s="59"/>
      <x:c r="W152" s="59"/>
      <x:c r="X152" s="59"/>
      <x:c r="Y152" s="59"/>
      <x:c r="Z152" s="59"/>
    </x:row>
    <x:row r="153">
      <x:c r="A153" s="59"/>
      <x:c r="B153" s="59"/>
      <x:c r="C153" s="59"/>
      <x:c r="D153" s="59"/>
      <x:c r="E153" s="59"/>
      <x:c r="F153" s="59"/>
      <x:c r="G153" s="59"/>
      <x:c r="H153" s="59"/>
      <x:c r="I153" s="59"/>
      <x:c r="J153" s="59"/>
      <x:c r="K153" s="59"/>
      <x:c r="L153" s="59"/>
      <x:c r="M153" s="59"/>
      <x:c r="N153" s="59"/>
      <x:c r="O153" s="59"/>
      <x:c r="P153" s="59"/>
      <x:c r="Q153" s="59"/>
      <x:c r="R153" s="59"/>
      <x:c r="S153" s="59"/>
      <x:c r="T153" s="59"/>
      <x:c r="U153" s="59"/>
      <x:c r="V153" s="59"/>
      <x:c r="W153" s="59"/>
      <x:c r="X153" s="59"/>
      <x:c r="Y153" s="59"/>
      <x:c r="Z153" s="59"/>
    </x:row>
    <x:row r="154">
      <x:c r="A154" s="59"/>
      <x:c r="B154" s="59"/>
      <x:c r="C154" s="59"/>
      <x:c r="D154" s="59"/>
      <x:c r="E154" s="59"/>
      <x:c r="F154" s="59"/>
      <x:c r="G154" s="59"/>
      <x:c r="H154" s="59"/>
      <x:c r="I154" s="59"/>
      <x:c r="J154" s="59"/>
      <x:c r="K154" s="59"/>
      <x:c r="L154" s="59"/>
      <x:c r="M154" s="59"/>
      <x:c r="N154" s="59"/>
      <x:c r="O154" s="59"/>
      <x:c r="P154" s="59"/>
      <x:c r="Q154" s="59"/>
      <x:c r="R154" s="59"/>
      <x:c r="S154" s="59"/>
      <x:c r="T154" s="59"/>
      <x:c r="U154" s="59"/>
      <x:c r="V154" s="59"/>
      <x:c r="W154" s="59"/>
      <x:c r="X154" s="59"/>
      <x:c r="Y154" s="59"/>
      <x:c r="Z154" s="59"/>
    </x:row>
    <x:row r="155">
      <x:c r="A155" s="59"/>
      <x:c r="B155" s="59"/>
      <x:c r="C155" s="59"/>
      <x:c r="D155" s="59"/>
      <x:c r="E155" s="59"/>
      <x:c r="F155" s="59"/>
      <x:c r="G155" s="59"/>
      <x:c r="H155" s="59"/>
      <x:c r="I155" s="59"/>
      <x:c r="J155" s="59"/>
      <x:c r="K155" s="59"/>
      <x:c r="L155" s="59"/>
      <x:c r="M155" s="59"/>
      <x:c r="N155" s="59"/>
      <x:c r="O155" s="59"/>
      <x:c r="P155" s="59"/>
      <x:c r="Q155" s="59"/>
      <x:c r="R155" s="59"/>
      <x:c r="S155" s="59"/>
      <x:c r="T155" s="59"/>
      <x:c r="U155" s="59"/>
      <x:c r="V155" s="59"/>
      <x:c r="W155" s="59"/>
      <x:c r="X155" s="59"/>
      <x:c r="Y155" s="59"/>
      <x:c r="Z155" s="59"/>
    </x:row>
    <x:row r="156">
      <x:c r="A156" s="59"/>
      <x:c r="B156" s="59"/>
      <x:c r="C156" s="59"/>
      <x:c r="D156" s="59"/>
      <x:c r="E156" s="59"/>
      <x:c r="F156" s="59"/>
      <x:c r="G156" s="59"/>
      <x:c r="H156" s="59"/>
      <x:c r="I156" s="59"/>
      <x:c r="J156" s="59"/>
      <x:c r="K156" s="59"/>
      <x:c r="L156" s="59"/>
      <x:c r="M156" s="59"/>
      <x:c r="N156" s="59"/>
      <x:c r="O156" s="59"/>
      <x:c r="P156" s="59"/>
      <x:c r="Q156" s="59"/>
      <x:c r="R156" s="59"/>
      <x:c r="S156" s="59"/>
      <x:c r="T156" s="59"/>
      <x:c r="U156" s="59"/>
      <x:c r="V156" s="59"/>
      <x:c r="W156" s="59"/>
      <x:c r="X156" s="59"/>
      <x:c r="Y156" s="59"/>
      <x:c r="Z156" s="59"/>
    </x:row>
    <x:row r="157">
      <x:c r="A157" s="59"/>
      <x:c r="B157" s="59"/>
      <x:c r="C157" s="59"/>
      <x:c r="D157" s="59"/>
      <x:c r="E157" s="59"/>
      <x:c r="F157" s="59"/>
      <x:c r="G157" s="59"/>
      <x:c r="H157" s="59"/>
      <x:c r="I157" s="59"/>
      <x:c r="J157" s="59"/>
      <x:c r="K157" s="59"/>
      <x:c r="L157" s="59"/>
      <x:c r="M157" s="59"/>
      <x:c r="N157" s="59"/>
      <x:c r="O157" s="59"/>
      <x:c r="P157" s="59"/>
      <x:c r="Q157" s="59"/>
      <x:c r="R157" s="59"/>
      <x:c r="S157" s="59"/>
      <x:c r="T157" s="59"/>
      <x:c r="U157" s="59"/>
      <x:c r="V157" s="59"/>
      <x:c r="W157" s="59"/>
      <x:c r="X157" s="59"/>
      <x:c r="Y157" s="59"/>
      <x:c r="Z157" s="59"/>
    </x:row>
    <x:row r="158">
      <x:c r="A158" s="59"/>
      <x:c r="B158" s="59"/>
      <x:c r="C158" s="59"/>
      <x:c r="D158" s="59"/>
      <x:c r="E158" s="59"/>
      <x:c r="F158" s="59"/>
      <x:c r="G158" s="59"/>
      <x:c r="H158" s="59"/>
      <x:c r="I158" s="59"/>
      <x:c r="J158" s="59"/>
      <x:c r="K158" s="59"/>
      <x:c r="L158" s="59"/>
      <x:c r="M158" s="59"/>
      <x:c r="N158" s="59"/>
      <x:c r="O158" s="59"/>
      <x:c r="P158" s="59"/>
      <x:c r="Q158" s="59"/>
      <x:c r="R158" s="59"/>
      <x:c r="S158" s="59"/>
      <x:c r="T158" s="59"/>
      <x:c r="U158" s="59"/>
      <x:c r="V158" s="59"/>
      <x:c r="W158" s="59"/>
      <x:c r="X158" s="59"/>
      <x:c r="Y158" s="59"/>
      <x:c r="Z158" s="59"/>
    </x:row>
    <x:row r="159">
      <x:c r="A159" s="59"/>
      <x:c r="B159" s="59"/>
      <x:c r="C159" s="59"/>
      <x:c r="D159" s="59"/>
      <x:c r="E159" s="59"/>
      <x:c r="F159" s="59"/>
      <x:c r="G159" s="59"/>
      <x:c r="H159" s="59"/>
      <x:c r="I159" s="59"/>
      <x:c r="J159" s="59"/>
      <x:c r="K159" s="59"/>
      <x:c r="L159" s="59"/>
      <x:c r="M159" s="59"/>
      <x:c r="N159" s="59"/>
      <x:c r="O159" s="59"/>
      <x:c r="P159" s="59"/>
      <x:c r="Q159" s="59"/>
      <x:c r="R159" s="59"/>
      <x:c r="S159" s="59"/>
      <x:c r="T159" s="59"/>
      <x:c r="U159" s="59"/>
      <x:c r="V159" s="59"/>
      <x:c r="W159" s="59"/>
      <x:c r="X159" s="59"/>
      <x:c r="Y159" s="59"/>
      <x:c r="Z159" s="59"/>
    </x:row>
    <x:row r="160">
      <x:c r="A160" s="59"/>
      <x:c r="B160" s="59"/>
      <x:c r="C160" s="59"/>
      <x:c r="D160" s="59"/>
      <x:c r="E160" s="59"/>
      <x:c r="F160" s="59"/>
      <x:c r="G160" s="59"/>
      <x:c r="H160" s="59"/>
      <x:c r="I160" s="59"/>
      <x:c r="J160" s="59"/>
      <x:c r="K160" s="59"/>
      <x:c r="L160" s="59"/>
      <x:c r="M160" s="59"/>
      <x:c r="N160" s="59"/>
      <x:c r="O160" s="59"/>
      <x:c r="P160" s="59"/>
      <x:c r="Q160" s="59"/>
      <x:c r="R160" s="59"/>
      <x:c r="S160" s="59"/>
      <x:c r="T160" s="59"/>
      <x:c r="U160" s="59"/>
      <x:c r="V160" s="59"/>
      <x:c r="W160" s="59"/>
      <x:c r="X160" s="59"/>
      <x:c r="Y160" s="59"/>
      <x:c r="Z160" s="59"/>
    </x:row>
    <x:row r="161">
      <x:c r="A161" s="59"/>
      <x:c r="B161" s="59"/>
      <x:c r="C161" s="59"/>
      <x:c r="D161" s="59"/>
      <x:c r="E161" s="59"/>
      <x:c r="F161" s="59"/>
      <x:c r="G161" s="59"/>
      <x:c r="H161" s="59"/>
      <x:c r="I161" s="59"/>
      <x:c r="J161" s="59"/>
      <x:c r="K161" s="59"/>
      <x:c r="L161" s="59"/>
      <x:c r="M161" s="59"/>
      <x:c r="N161" s="59"/>
      <x:c r="O161" s="59"/>
      <x:c r="P161" s="59"/>
      <x:c r="Q161" s="59"/>
      <x:c r="R161" s="59"/>
      <x:c r="S161" s="59"/>
      <x:c r="T161" s="59"/>
      <x:c r="U161" s="59"/>
      <x:c r="V161" s="59"/>
      <x:c r="W161" s="59"/>
      <x:c r="X161" s="59"/>
      <x:c r="Y161" s="59"/>
      <x:c r="Z161" s="59"/>
    </x:row>
    <x:row r="162">
      <x:c r="A162" s="59"/>
      <x:c r="B162" s="59"/>
      <x:c r="C162" s="59"/>
      <x:c r="D162" s="59"/>
      <x:c r="E162" s="59"/>
      <x:c r="F162" s="59"/>
      <x:c r="G162" s="59"/>
      <x:c r="H162" s="59"/>
      <x:c r="I162" s="59"/>
      <x:c r="J162" s="59"/>
      <x:c r="K162" s="59"/>
      <x:c r="L162" s="59"/>
      <x:c r="M162" s="59"/>
      <x:c r="N162" s="59"/>
      <x:c r="O162" s="59"/>
      <x:c r="P162" s="59"/>
      <x:c r="Q162" s="59"/>
      <x:c r="R162" s="59"/>
      <x:c r="S162" s="59"/>
      <x:c r="T162" s="59"/>
      <x:c r="U162" s="59"/>
      <x:c r="V162" s="59"/>
      <x:c r="W162" s="59"/>
      <x:c r="X162" s="59"/>
      <x:c r="Y162" s="59"/>
      <x:c r="Z162" s="59"/>
    </x:row>
    <x:row r="163">
      <x:c r="A163" s="59"/>
      <x:c r="B163" s="59"/>
      <x:c r="C163" s="59"/>
      <x:c r="D163" s="59"/>
      <x:c r="E163" s="59"/>
      <x:c r="F163" s="59"/>
      <x:c r="G163" s="59"/>
      <x:c r="H163" s="59"/>
      <x:c r="I163" s="59"/>
      <x:c r="J163" s="59"/>
      <x:c r="K163" s="59"/>
      <x:c r="L163" s="59"/>
      <x:c r="M163" s="59"/>
      <x:c r="N163" s="59"/>
      <x:c r="O163" s="59"/>
      <x:c r="P163" s="59"/>
      <x:c r="Q163" s="59"/>
      <x:c r="R163" s="59"/>
      <x:c r="S163" s="59"/>
      <x:c r="T163" s="59"/>
      <x:c r="U163" s="59"/>
      <x:c r="V163" s="59"/>
      <x:c r="W163" s="59"/>
      <x:c r="X163" s="59"/>
      <x:c r="Y163" s="59"/>
      <x:c r="Z163" s="59"/>
    </x:row>
    <x:row r="164">
      <x:c r="A164" s="59"/>
      <x:c r="B164" s="59"/>
      <x:c r="C164" s="59"/>
      <x:c r="D164" s="59"/>
      <x:c r="E164" s="59"/>
      <x:c r="F164" s="59"/>
      <x:c r="G164" s="59"/>
      <x:c r="H164" s="59"/>
      <x:c r="I164" s="59"/>
      <x:c r="J164" s="59"/>
      <x:c r="K164" s="59"/>
      <x:c r="L164" s="59"/>
      <x:c r="M164" s="59"/>
      <x:c r="N164" s="59"/>
      <x:c r="O164" s="59"/>
      <x:c r="P164" s="59"/>
      <x:c r="Q164" s="59"/>
      <x:c r="R164" s="59"/>
      <x:c r="S164" s="59"/>
      <x:c r="T164" s="59"/>
      <x:c r="U164" s="59"/>
      <x:c r="V164" s="59"/>
      <x:c r="W164" s="59"/>
      <x:c r="X164" s="59"/>
      <x:c r="Y164" s="59"/>
      <x:c r="Z164" s="59"/>
    </x:row>
    <x:row r="165">
      <x:c r="A165" s="59"/>
      <x:c r="B165" s="59"/>
      <x:c r="C165" s="59"/>
      <x:c r="D165" s="59"/>
      <x:c r="E165" s="59"/>
      <x:c r="F165" s="59"/>
      <x:c r="G165" s="59"/>
      <x:c r="H165" s="59"/>
      <x:c r="I165" s="59"/>
      <x:c r="J165" s="59"/>
      <x:c r="K165" s="59"/>
      <x:c r="L165" s="59"/>
      <x:c r="M165" s="59"/>
      <x:c r="N165" s="59"/>
      <x:c r="O165" s="59"/>
      <x:c r="P165" s="59"/>
      <x:c r="Q165" s="59"/>
      <x:c r="R165" s="59"/>
      <x:c r="S165" s="59"/>
      <x:c r="T165" s="59"/>
      <x:c r="U165" s="59"/>
      <x:c r="V165" s="59"/>
      <x:c r="W165" s="59"/>
      <x:c r="X165" s="59"/>
      <x:c r="Y165" s="59"/>
      <x:c r="Z165" s="59"/>
    </x:row>
    <x:row r="166">
      <x:c r="A166" s="59"/>
      <x:c r="B166" s="59"/>
      <x:c r="C166" s="59"/>
      <x:c r="D166" s="59"/>
      <x:c r="E166" s="59"/>
      <x:c r="F166" s="59"/>
      <x:c r="G166" s="59"/>
      <x:c r="H166" s="59"/>
      <x:c r="I166" s="59"/>
      <x:c r="J166" s="59"/>
      <x:c r="K166" s="59"/>
      <x:c r="L166" s="59"/>
      <x:c r="M166" s="59"/>
      <x:c r="N166" s="59"/>
      <x:c r="O166" s="59"/>
      <x:c r="P166" s="59"/>
      <x:c r="Q166" s="59"/>
      <x:c r="R166" s="59"/>
      <x:c r="S166" s="59"/>
      <x:c r="T166" s="59"/>
      <x:c r="U166" s="59"/>
      <x:c r="V166" s="59"/>
      <x:c r="W166" s="59"/>
      <x:c r="X166" s="59"/>
      <x:c r="Y166" s="59"/>
      <x:c r="Z166" s="59"/>
    </x:row>
    <x:row r="167">
      <x:c r="A167" s="59"/>
      <x:c r="B167" s="59"/>
      <x:c r="C167" s="59"/>
      <x:c r="D167" s="59"/>
      <x:c r="E167" s="59"/>
      <x:c r="F167" s="59"/>
      <x:c r="G167" s="59"/>
      <x:c r="H167" s="59"/>
      <x:c r="I167" s="59"/>
      <x:c r="J167" s="59"/>
      <x:c r="K167" s="59"/>
      <x:c r="L167" s="59"/>
      <x:c r="M167" s="59"/>
      <x:c r="N167" s="59"/>
      <x:c r="O167" s="59"/>
      <x:c r="P167" s="59"/>
      <x:c r="Q167" s="59"/>
      <x:c r="R167" s="59"/>
      <x:c r="S167" s="59"/>
      <x:c r="T167" s="59"/>
      <x:c r="U167" s="59"/>
      <x:c r="V167" s="59"/>
      <x:c r="W167" s="59"/>
      <x:c r="X167" s="59"/>
      <x:c r="Y167" s="59"/>
      <x:c r="Z167" s="59"/>
    </x:row>
    <x:row r="168">
      <x:c r="A168" s="59"/>
      <x:c r="B168" s="59"/>
      <x:c r="C168" s="59"/>
      <x:c r="D168" s="59"/>
      <x:c r="E168" s="59"/>
      <x:c r="F168" s="59"/>
      <x:c r="G168" s="59"/>
      <x:c r="H168" s="59"/>
      <x:c r="I168" s="59"/>
      <x:c r="J168" s="59"/>
      <x:c r="K168" s="59"/>
      <x:c r="L168" s="59"/>
      <x:c r="M168" s="59"/>
      <x:c r="N168" s="59"/>
      <x:c r="O168" s="59"/>
      <x:c r="P168" s="59"/>
      <x:c r="Q168" s="59"/>
      <x:c r="R168" s="59"/>
      <x:c r="S168" s="59"/>
      <x:c r="T168" s="59"/>
      <x:c r="U168" s="59"/>
      <x:c r="V168" s="59"/>
      <x:c r="W168" s="59"/>
      <x:c r="X168" s="59"/>
      <x:c r="Y168" s="59"/>
      <x:c r="Z168" s="59"/>
    </x:row>
    <x:row r="169">
      <x:c r="A169" s="59"/>
      <x:c r="B169" s="59"/>
      <x:c r="C169" s="59"/>
      <x:c r="D169" s="59"/>
      <x:c r="E169" s="59"/>
      <x:c r="F169" s="59"/>
      <x:c r="G169" s="59"/>
      <x:c r="H169" s="59"/>
      <x:c r="I169" s="59"/>
      <x:c r="J169" s="59"/>
      <x:c r="K169" s="59"/>
      <x:c r="L169" s="59"/>
      <x:c r="M169" s="59"/>
      <x:c r="N169" s="59"/>
      <x:c r="O169" s="59"/>
      <x:c r="P169" s="59"/>
      <x:c r="Q169" s="59"/>
      <x:c r="R169" s="59"/>
      <x:c r="S169" s="59"/>
      <x:c r="T169" s="59"/>
      <x:c r="U169" s="59"/>
      <x:c r="V169" s="59"/>
      <x:c r="W169" s="59"/>
      <x:c r="X169" s="59"/>
      <x:c r="Y169" s="59"/>
      <x:c r="Z169" s="59"/>
    </x:row>
    <x:row r="170">
      <x:c r="A170" s="59"/>
      <x:c r="B170" s="59"/>
      <x:c r="C170" s="59"/>
      <x:c r="D170" s="59"/>
      <x:c r="E170" s="59"/>
      <x:c r="F170" s="59"/>
      <x:c r="G170" s="59"/>
      <x:c r="H170" s="59"/>
      <x:c r="I170" s="59"/>
      <x:c r="J170" s="59"/>
      <x:c r="K170" s="59"/>
      <x:c r="L170" s="59"/>
      <x:c r="M170" s="59"/>
      <x:c r="N170" s="59"/>
      <x:c r="O170" s="59"/>
      <x:c r="P170" s="59"/>
      <x:c r="Q170" s="59"/>
      <x:c r="R170" s="59"/>
      <x:c r="S170" s="59"/>
      <x:c r="T170" s="59"/>
      <x:c r="U170" s="59"/>
      <x:c r="V170" s="59"/>
      <x:c r="W170" s="59"/>
      <x:c r="X170" s="59"/>
      <x:c r="Y170" s="59"/>
      <x:c r="Z170" s="59"/>
    </x:row>
    <x:row r="171">
      <x:c r="A171" s="59"/>
      <x:c r="B171" s="59"/>
      <x:c r="C171" s="59"/>
      <x:c r="D171" s="59"/>
      <x:c r="E171" s="59"/>
      <x:c r="F171" s="59"/>
      <x:c r="G171" s="59"/>
      <x:c r="H171" s="59"/>
      <x:c r="I171" s="59"/>
      <x:c r="J171" s="59"/>
      <x:c r="K171" s="59"/>
      <x:c r="L171" s="59"/>
      <x:c r="M171" s="59"/>
      <x:c r="N171" s="59"/>
      <x:c r="O171" s="59"/>
      <x:c r="P171" s="59"/>
      <x:c r="Q171" s="59"/>
      <x:c r="R171" s="59"/>
      <x:c r="S171" s="59"/>
      <x:c r="T171" s="59"/>
      <x:c r="U171" s="59"/>
      <x:c r="V171" s="59"/>
      <x:c r="W171" s="59"/>
      <x:c r="X171" s="59"/>
      <x:c r="Y171" s="59"/>
      <x:c r="Z171" s="59"/>
    </x:row>
    <x:row r="172">
      <x:c r="A172" s="59"/>
      <x:c r="B172" s="59"/>
      <x:c r="C172" s="59"/>
      <x:c r="D172" s="59"/>
      <x:c r="E172" s="59"/>
      <x:c r="F172" s="59"/>
      <x:c r="G172" s="59"/>
      <x:c r="H172" s="59"/>
      <x:c r="I172" s="59"/>
      <x:c r="J172" s="59"/>
      <x:c r="K172" s="59"/>
      <x:c r="L172" s="59"/>
      <x:c r="M172" s="59"/>
      <x:c r="N172" s="59"/>
      <x:c r="O172" s="59"/>
      <x:c r="P172" s="59"/>
      <x:c r="Q172" s="59"/>
      <x:c r="R172" s="59"/>
      <x:c r="S172" s="59"/>
      <x:c r="T172" s="59"/>
      <x:c r="U172" s="59"/>
      <x:c r="V172" s="59"/>
      <x:c r="W172" s="59"/>
      <x:c r="X172" s="59"/>
      <x:c r="Y172" s="59"/>
      <x:c r="Z172" s="59"/>
    </x:row>
    <x:row r="173">
      <x:c r="A173" s="59"/>
      <x:c r="B173" s="59"/>
      <x:c r="C173" s="59"/>
      <x:c r="D173" s="59"/>
      <x:c r="E173" s="59"/>
      <x:c r="F173" s="59"/>
      <x:c r="G173" s="59"/>
      <x:c r="H173" s="59"/>
      <x:c r="I173" s="59"/>
      <x:c r="J173" s="59"/>
      <x:c r="K173" s="59"/>
      <x:c r="L173" s="59"/>
      <x:c r="M173" s="59"/>
      <x:c r="N173" s="59"/>
      <x:c r="O173" s="59"/>
      <x:c r="P173" s="59"/>
      <x:c r="Q173" s="59"/>
      <x:c r="R173" s="59"/>
      <x:c r="S173" s="59"/>
      <x:c r="T173" s="59"/>
      <x:c r="U173" s="59"/>
      <x:c r="V173" s="59"/>
      <x:c r="W173" s="59"/>
      <x:c r="X173" s="59"/>
      <x:c r="Y173" s="59"/>
      <x:c r="Z173" s="59"/>
    </x:row>
    <x:row r="174">
      <x:c r="A174" s="59"/>
      <x:c r="B174" s="59"/>
      <x:c r="C174" s="59"/>
      <x:c r="D174" s="59"/>
      <x:c r="E174" s="59"/>
      <x:c r="F174" s="59"/>
      <x:c r="G174" s="59"/>
      <x:c r="H174" s="59"/>
      <x:c r="I174" s="59"/>
      <x:c r="J174" s="59"/>
      <x:c r="K174" s="59"/>
      <x:c r="L174" s="59"/>
      <x:c r="M174" s="59"/>
      <x:c r="N174" s="59"/>
      <x:c r="O174" s="59"/>
      <x:c r="P174" s="59"/>
      <x:c r="Q174" s="59"/>
      <x:c r="R174" s="59"/>
      <x:c r="S174" s="59"/>
      <x:c r="T174" s="59"/>
      <x:c r="U174" s="59"/>
      <x:c r="V174" s="59"/>
      <x:c r="W174" s="59"/>
      <x:c r="X174" s="59"/>
      <x:c r="Y174" s="59"/>
      <x:c r="Z174" s="59"/>
    </x:row>
    <x:row r="175">
      <x:c r="A175" s="59"/>
      <x:c r="B175" s="59"/>
      <x:c r="C175" s="59"/>
      <x:c r="D175" s="59"/>
      <x:c r="E175" s="59"/>
      <x:c r="F175" s="59"/>
      <x:c r="G175" s="59"/>
      <x:c r="H175" s="59"/>
      <x:c r="I175" s="59"/>
      <x:c r="J175" s="59"/>
      <x:c r="K175" s="59"/>
      <x:c r="L175" s="59"/>
      <x:c r="M175" s="59"/>
      <x:c r="N175" s="59"/>
      <x:c r="O175" s="59"/>
      <x:c r="P175" s="59"/>
      <x:c r="Q175" s="59"/>
      <x:c r="R175" s="59"/>
      <x:c r="S175" s="59"/>
      <x:c r="T175" s="59"/>
      <x:c r="U175" s="59"/>
      <x:c r="V175" s="59"/>
      <x:c r="W175" s="59"/>
      <x:c r="X175" s="59"/>
      <x:c r="Y175" s="59"/>
      <x:c r="Z175" s="59"/>
    </x:row>
    <x:row r="176">
      <x:c r="A176" s="59"/>
      <x:c r="B176" s="59"/>
      <x:c r="C176" s="59"/>
      <x:c r="D176" s="59"/>
      <x:c r="E176" s="59"/>
      <x:c r="F176" s="59"/>
      <x:c r="G176" s="59"/>
      <x:c r="H176" s="59"/>
      <x:c r="I176" s="59"/>
      <x:c r="J176" s="59"/>
      <x:c r="K176" s="59"/>
      <x:c r="L176" s="59"/>
      <x:c r="M176" s="59"/>
      <x:c r="N176" s="59"/>
      <x:c r="O176" s="59"/>
      <x:c r="P176" s="59"/>
      <x:c r="Q176" s="59"/>
      <x:c r="R176" s="59"/>
      <x:c r="S176" s="59"/>
      <x:c r="T176" s="59"/>
      <x:c r="U176" s="59"/>
      <x:c r="V176" s="59"/>
      <x:c r="W176" s="59"/>
      <x:c r="X176" s="59"/>
      <x:c r="Y176" s="59"/>
      <x:c r="Z176" s="59"/>
    </x:row>
    <x:row r="177">
      <x:c r="A177" s="59"/>
      <x:c r="B177" s="59"/>
      <x:c r="C177" s="59"/>
      <x:c r="D177" s="59"/>
      <x:c r="E177" s="59"/>
      <x:c r="F177" s="59"/>
      <x:c r="G177" s="59"/>
      <x:c r="H177" s="59"/>
      <x:c r="I177" s="59"/>
      <x:c r="J177" s="59"/>
      <x:c r="K177" s="59"/>
      <x:c r="L177" s="59"/>
      <x:c r="M177" s="59"/>
      <x:c r="N177" s="59"/>
      <x:c r="O177" s="59"/>
      <x:c r="P177" s="59"/>
      <x:c r="Q177" s="59"/>
      <x:c r="R177" s="59"/>
      <x:c r="S177" s="59"/>
      <x:c r="T177" s="59"/>
      <x:c r="U177" s="59"/>
      <x:c r="V177" s="59"/>
      <x:c r="W177" s="59"/>
      <x:c r="X177" s="59"/>
      <x:c r="Y177" s="59"/>
      <x:c r="Z177" s="59"/>
    </x:row>
    <x:row r="178">
      <x:c r="A178" s="59"/>
      <x:c r="B178" s="59"/>
      <x:c r="C178" s="59"/>
      <x:c r="D178" s="59"/>
      <x:c r="E178" s="59"/>
      <x:c r="F178" s="59"/>
      <x:c r="G178" s="59"/>
      <x:c r="H178" s="59"/>
      <x:c r="I178" s="59"/>
      <x:c r="J178" s="59"/>
      <x:c r="K178" s="59"/>
      <x:c r="L178" s="59"/>
      <x:c r="M178" s="59"/>
      <x:c r="N178" s="59"/>
      <x:c r="O178" s="59"/>
      <x:c r="P178" s="59"/>
      <x:c r="Q178" s="59"/>
      <x:c r="R178" s="59"/>
      <x:c r="S178" s="59"/>
      <x:c r="T178" s="59"/>
      <x:c r="U178" s="59"/>
      <x:c r="V178" s="59"/>
      <x:c r="W178" s="59"/>
      <x:c r="X178" s="59"/>
      <x:c r="Y178" s="59"/>
      <x:c r="Z178" s="59"/>
    </x:row>
    <x:row r="179">
      <x:c r="A179" s="59"/>
      <x:c r="B179" s="59"/>
      <x:c r="C179" s="59"/>
      <x:c r="D179" s="59"/>
      <x:c r="E179" s="59"/>
      <x:c r="F179" s="59"/>
      <x:c r="G179" s="59"/>
      <x:c r="H179" s="59"/>
      <x:c r="I179" s="59"/>
      <x:c r="J179" s="59"/>
      <x:c r="K179" s="59"/>
      <x:c r="L179" s="59"/>
      <x:c r="M179" s="59"/>
      <x:c r="N179" s="59"/>
      <x:c r="O179" s="59"/>
      <x:c r="P179" s="59"/>
      <x:c r="Q179" s="59"/>
      <x:c r="R179" s="59"/>
      <x:c r="S179" s="59"/>
      <x:c r="T179" s="59"/>
      <x:c r="U179" s="59"/>
      <x:c r="V179" s="59"/>
      <x:c r="W179" s="59"/>
      <x:c r="X179" s="59"/>
      <x:c r="Y179" s="59"/>
      <x:c r="Z179" s="59"/>
    </x:row>
    <x:row r="180">
      <x:c r="A180" s="59"/>
      <x:c r="B180" s="59"/>
      <x:c r="C180" s="59"/>
      <x:c r="D180" s="59"/>
      <x:c r="E180" s="59"/>
      <x:c r="F180" s="59"/>
      <x:c r="G180" s="59"/>
      <x:c r="H180" s="59"/>
      <x:c r="I180" s="59"/>
      <x:c r="J180" s="59"/>
      <x:c r="K180" s="59"/>
      <x:c r="L180" s="59"/>
      <x:c r="M180" s="59"/>
      <x:c r="N180" s="59"/>
      <x:c r="O180" s="59"/>
      <x:c r="P180" s="59"/>
      <x:c r="Q180" s="59"/>
      <x:c r="R180" s="59"/>
      <x:c r="S180" s="59"/>
      <x:c r="T180" s="59"/>
      <x:c r="U180" s="59"/>
      <x:c r="V180" s="59"/>
      <x:c r="W180" s="59"/>
      <x:c r="X180" s="59"/>
      <x:c r="Y180" s="59"/>
      <x:c r="Z180" s="59"/>
    </x:row>
    <x:row r="181">
      <x:c r="A181" s="59"/>
      <x:c r="B181" s="59"/>
      <x:c r="C181" s="59"/>
      <x:c r="D181" s="59"/>
      <x:c r="E181" s="59"/>
      <x:c r="F181" s="59"/>
      <x:c r="G181" s="59"/>
      <x:c r="H181" s="59"/>
      <x:c r="I181" s="59"/>
      <x:c r="J181" s="59"/>
      <x:c r="K181" s="59"/>
      <x:c r="L181" s="59"/>
      <x:c r="M181" s="59"/>
      <x:c r="N181" s="59"/>
      <x:c r="O181" s="59"/>
      <x:c r="P181" s="59"/>
      <x:c r="Q181" s="59"/>
      <x:c r="R181" s="59"/>
      <x:c r="S181" s="59"/>
      <x:c r="T181" s="59"/>
      <x:c r="U181" s="59"/>
      <x:c r="V181" s="59"/>
      <x:c r="W181" s="59"/>
      <x:c r="X181" s="59"/>
      <x:c r="Y181" s="59"/>
      <x:c r="Z181" s="59"/>
    </x:row>
    <x:row r="182">
      <x:c r="A182" s="59"/>
      <x:c r="B182" s="59"/>
      <x:c r="C182" s="59"/>
      <x:c r="D182" s="59"/>
      <x:c r="E182" s="59"/>
      <x:c r="F182" s="59"/>
      <x:c r="G182" s="59"/>
      <x:c r="H182" s="59"/>
      <x:c r="I182" s="59"/>
      <x:c r="J182" s="59"/>
      <x:c r="K182" s="59"/>
      <x:c r="L182" s="59"/>
      <x:c r="M182" s="59"/>
      <x:c r="N182" s="59"/>
      <x:c r="O182" s="59"/>
      <x:c r="P182" s="59"/>
      <x:c r="Q182" s="59"/>
      <x:c r="R182" s="59"/>
      <x:c r="S182" s="59"/>
      <x:c r="T182" s="59"/>
      <x:c r="U182" s="59"/>
      <x:c r="V182" s="59"/>
      <x:c r="W182" s="59"/>
      <x:c r="X182" s="59"/>
      <x:c r="Y182" s="59"/>
      <x:c r="Z182" s="59"/>
    </x:row>
    <x:row r="183">
      <x:c r="A183" s="59"/>
      <x:c r="B183" s="59"/>
      <x:c r="C183" s="59"/>
      <x:c r="D183" s="59"/>
      <x:c r="E183" s="59"/>
      <x:c r="F183" s="59"/>
      <x:c r="G183" s="59"/>
      <x:c r="H183" s="59"/>
      <x:c r="I183" s="59"/>
      <x:c r="J183" s="59"/>
      <x:c r="K183" s="59"/>
      <x:c r="L183" s="59"/>
      <x:c r="M183" s="59"/>
      <x:c r="N183" s="59"/>
      <x:c r="O183" s="59"/>
      <x:c r="P183" s="59"/>
      <x:c r="Q183" s="59"/>
      <x:c r="R183" s="59"/>
      <x:c r="S183" s="59"/>
      <x:c r="T183" s="59"/>
      <x:c r="U183" s="59"/>
      <x:c r="V183" s="59"/>
      <x:c r="W183" s="59"/>
      <x:c r="X183" s="59"/>
      <x:c r="Y183" s="59"/>
      <x:c r="Z183" s="59"/>
    </x:row>
    <x:row r="184">
      <x:c r="A184" s="59"/>
      <x:c r="B184" s="59"/>
      <x:c r="C184" s="59"/>
      <x:c r="D184" s="59"/>
      <x:c r="E184" s="59"/>
      <x:c r="F184" s="59"/>
      <x:c r="G184" s="59"/>
      <x:c r="H184" s="59"/>
      <x:c r="I184" s="59"/>
      <x:c r="J184" s="59"/>
      <x:c r="K184" s="59"/>
      <x:c r="L184" s="59"/>
      <x:c r="M184" s="59"/>
      <x:c r="N184" s="59"/>
      <x:c r="O184" s="59"/>
      <x:c r="P184" s="59"/>
      <x:c r="Q184" s="59"/>
      <x:c r="R184" s="59"/>
      <x:c r="S184" s="59"/>
      <x:c r="T184" s="59"/>
      <x:c r="U184" s="59"/>
      <x:c r="V184" s="59"/>
      <x:c r="W184" s="59"/>
      <x:c r="X184" s="59"/>
      <x:c r="Y184" s="59"/>
      <x:c r="Z184" s="59"/>
    </x:row>
    <x:row r="185">
      <x:c r="A185" s="59"/>
      <x:c r="B185" s="59"/>
      <x:c r="C185" s="59"/>
      <x:c r="D185" s="59"/>
      <x:c r="E185" s="59"/>
      <x:c r="F185" s="59"/>
      <x:c r="G185" s="59"/>
      <x:c r="H185" s="59"/>
      <x:c r="I185" s="59"/>
      <x:c r="J185" s="59"/>
      <x:c r="K185" s="59"/>
      <x:c r="L185" s="59"/>
      <x:c r="M185" s="59"/>
      <x:c r="N185" s="59"/>
      <x:c r="O185" s="59"/>
      <x:c r="P185" s="59"/>
      <x:c r="Q185" s="59"/>
      <x:c r="R185" s="59"/>
      <x:c r="S185" s="59"/>
      <x:c r="T185" s="59"/>
      <x:c r="U185" s="59"/>
      <x:c r="V185" s="59"/>
      <x:c r="W185" s="59"/>
      <x:c r="X185" s="59"/>
      <x:c r="Y185" s="59"/>
      <x:c r="Z185" s="59"/>
    </x:row>
    <x:row r="186">
      <x:c r="A186" s="59"/>
      <x:c r="B186" s="59"/>
      <x:c r="C186" s="59"/>
      <x:c r="D186" s="59"/>
      <x:c r="E186" s="59"/>
      <x:c r="F186" s="59"/>
      <x:c r="G186" s="59"/>
      <x:c r="H186" s="59"/>
      <x:c r="I186" s="59"/>
      <x:c r="J186" s="59"/>
      <x:c r="K186" s="59"/>
      <x:c r="L186" s="59"/>
      <x:c r="M186" s="59"/>
      <x:c r="N186" s="59"/>
      <x:c r="O186" s="59"/>
      <x:c r="P186" s="59"/>
      <x:c r="Q186" s="59"/>
      <x:c r="R186" s="59"/>
      <x:c r="S186" s="59"/>
      <x:c r="T186" s="59"/>
      <x:c r="U186" s="59"/>
      <x:c r="V186" s="59"/>
      <x:c r="W186" s="59"/>
      <x:c r="X186" s="59"/>
      <x:c r="Y186" s="59"/>
      <x:c r="Z186" s="59"/>
    </x:row>
    <x:row r="187">
      <x:c r="A187" s="59"/>
      <x:c r="B187" s="59"/>
      <x:c r="C187" s="59"/>
      <x:c r="D187" s="59"/>
      <x:c r="E187" s="59"/>
      <x:c r="F187" s="59"/>
      <x:c r="G187" s="59"/>
      <x:c r="H187" s="59"/>
      <x:c r="I187" s="59"/>
      <x:c r="J187" s="59"/>
      <x:c r="K187" s="59"/>
      <x:c r="L187" s="59"/>
      <x:c r="M187" s="59"/>
      <x:c r="N187" s="59"/>
      <x:c r="O187" s="59"/>
      <x:c r="P187" s="59"/>
      <x:c r="Q187" s="59"/>
      <x:c r="R187" s="59"/>
      <x:c r="S187" s="59"/>
      <x:c r="T187" s="59"/>
      <x:c r="U187" s="59"/>
      <x:c r="V187" s="59"/>
      <x:c r="W187" s="59"/>
      <x:c r="X187" s="59"/>
      <x:c r="Y187" s="59"/>
      <x:c r="Z187" s="59"/>
    </x:row>
    <x:row r="188">
      <x:c r="A188" s="59"/>
      <x:c r="B188" s="59"/>
      <x:c r="C188" s="59"/>
      <x:c r="D188" s="59"/>
      <x:c r="E188" s="59"/>
      <x:c r="F188" s="59"/>
      <x:c r="G188" s="59"/>
      <x:c r="H188" s="59"/>
      <x:c r="I188" s="59"/>
      <x:c r="J188" s="59"/>
      <x:c r="K188" s="59"/>
      <x:c r="L188" s="59"/>
      <x:c r="M188" s="59"/>
      <x:c r="N188" s="59"/>
      <x:c r="O188" s="59"/>
      <x:c r="P188" s="59"/>
      <x:c r="Q188" s="59"/>
      <x:c r="R188" s="59"/>
      <x:c r="S188" s="59"/>
      <x:c r="T188" s="59"/>
      <x:c r="U188" s="59"/>
      <x:c r="V188" s="59"/>
      <x:c r="W188" s="59"/>
      <x:c r="X188" s="59"/>
      <x:c r="Y188" s="59"/>
      <x:c r="Z188" s="59"/>
    </x:row>
    <x:row r="189">
      <x:c r="A189" s="59"/>
      <x:c r="B189" s="59"/>
      <x:c r="C189" s="59"/>
      <x:c r="D189" s="59"/>
      <x:c r="E189" s="59"/>
      <x:c r="F189" s="59"/>
      <x:c r="G189" s="59"/>
      <x:c r="H189" s="59"/>
      <x:c r="I189" s="59"/>
      <x:c r="J189" s="59"/>
      <x:c r="K189" s="59"/>
      <x:c r="L189" s="59"/>
      <x:c r="M189" s="59"/>
      <x:c r="N189" s="59"/>
      <x:c r="O189" s="59"/>
      <x:c r="P189" s="59"/>
      <x:c r="Q189" s="59"/>
      <x:c r="R189" s="59"/>
      <x:c r="S189" s="59"/>
      <x:c r="T189" s="59"/>
      <x:c r="U189" s="59"/>
      <x:c r="V189" s="59"/>
      <x:c r="W189" s="59"/>
      <x:c r="X189" s="59"/>
      <x:c r="Y189" s="59"/>
      <x:c r="Z189" s="59"/>
    </x:row>
    <x:row r="190">
      <x:c r="A190" s="59"/>
      <x:c r="B190" s="59"/>
      <x:c r="C190" s="59"/>
      <x:c r="D190" s="59"/>
      <x:c r="E190" s="59"/>
      <x:c r="F190" s="59"/>
      <x:c r="G190" s="59"/>
      <x:c r="H190" s="59"/>
      <x:c r="I190" s="59"/>
      <x:c r="J190" s="59"/>
      <x:c r="K190" s="59"/>
      <x:c r="L190" s="59"/>
      <x:c r="M190" s="59"/>
      <x:c r="N190" s="59"/>
      <x:c r="O190" s="59"/>
      <x:c r="P190" s="59"/>
      <x:c r="Q190" s="59"/>
      <x:c r="R190" s="59"/>
      <x:c r="S190" s="59"/>
      <x:c r="T190" s="59"/>
      <x:c r="U190" s="59"/>
      <x:c r="V190" s="59"/>
      <x:c r="W190" s="59"/>
      <x:c r="X190" s="59"/>
      <x:c r="Y190" s="59"/>
      <x:c r="Z190" s="59"/>
    </x:row>
    <x:row r="191">
      <x:c r="A191" s="59"/>
      <x:c r="B191" s="59"/>
      <x:c r="C191" s="59"/>
      <x:c r="D191" s="59"/>
      <x:c r="E191" s="59"/>
      <x:c r="F191" s="59"/>
      <x:c r="G191" s="59"/>
      <x:c r="H191" s="59"/>
      <x:c r="I191" s="59"/>
      <x:c r="J191" s="59"/>
      <x:c r="K191" s="59"/>
      <x:c r="L191" s="59"/>
      <x:c r="M191" s="59"/>
      <x:c r="N191" s="59"/>
      <x:c r="O191" s="59"/>
      <x:c r="P191" s="59"/>
      <x:c r="Q191" s="59"/>
      <x:c r="R191" s="59"/>
      <x:c r="S191" s="59"/>
      <x:c r="T191" s="59"/>
      <x:c r="U191" s="59"/>
      <x:c r="V191" s="59"/>
      <x:c r="W191" s="59"/>
      <x:c r="X191" s="59"/>
      <x:c r="Y191" s="59"/>
      <x:c r="Z191" s="59"/>
    </x:row>
    <x:row r="192">
      <x:c r="A192" s="59"/>
      <x:c r="B192" s="59"/>
      <x:c r="C192" s="59"/>
      <x:c r="D192" s="59"/>
      <x:c r="E192" s="59"/>
      <x:c r="F192" s="59"/>
      <x:c r="G192" s="59"/>
      <x:c r="H192" s="59"/>
      <x:c r="I192" s="59"/>
      <x:c r="J192" s="59"/>
      <x:c r="K192" s="59"/>
      <x:c r="L192" s="59"/>
      <x:c r="M192" s="59"/>
      <x:c r="N192" s="59"/>
      <x:c r="O192" s="59"/>
      <x:c r="P192" s="59"/>
      <x:c r="Q192" s="59"/>
      <x:c r="R192" s="59"/>
      <x:c r="S192" s="59"/>
      <x:c r="T192" s="59"/>
      <x:c r="U192" s="59"/>
      <x:c r="V192" s="59"/>
      <x:c r="W192" s="59"/>
      <x:c r="X192" s="59"/>
      <x:c r="Y192" s="59"/>
      <x:c r="Z192" s="59"/>
    </x:row>
    <x:row r="193">
      <x:c r="A193" s="59"/>
      <x:c r="B193" s="59"/>
      <x:c r="C193" s="59"/>
      <x:c r="D193" s="59"/>
      <x:c r="E193" s="59"/>
      <x:c r="F193" s="59"/>
      <x:c r="G193" s="59"/>
      <x:c r="H193" s="59"/>
      <x:c r="I193" s="59"/>
      <x:c r="J193" s="59"/>
      <x:c r="K193" s="59"/>
      <x:c r="L193" s="59"/>
      <x:c r="M193" s="59"/>
      <x:c r="N193" s="59"/>
      <x:c r="O193" s="59"/>
      <x:c r="P193" s="59"/>
      <x:c r="Q193" s="59"/>
      <x:c r="R193" s="59"/>
      <x:c r="S193" s="59"/>
      <x:c r="T193" s="59"/>
      <x:c r="U193" s="59"/>
      <x:c r="V193" s="59"/>
      <x:c r="W193" s="59"/>
      <x:c r="X193" s="59"/>
      <x:c r="Y193" s="59"/>
      <x:c r="Z193" s="59"/>
    </x:row>
    <x:row r="194">
      <x:c r="A194" s="59"/>
      <x:c r="B194" s="59"/>
      <x:c r="C194" s="59"/>
      <x:c r="D194" s="59"/>
      <x:c r="E194" s="59"/>
      <x:c r="F194" s="59"/>
      <x:c r="G194" s="59"/>
      <x:c r="H194" s="59"/>
      <x:c r="I194" s="59"/>
      <x:c r="J194" s="59"/>
      <x:c r="K194" s="59"/>
      <x:c r="L194" s="59"/>
      <x:c r="M194" s="59"/>
      <x:c r="N194" s="59"/>
      <x:c r="O194" s="59"/>
      <x:c r="P194" s="59"/>
      <x:c r="Q194" s="59"/>
      <x:c r="R194" s="59"/>
      <x:c r="S194" s="59"/>
      <x:c r="T194" s="59"/>
      <x:c r="U194" s="59"/>
      <x:c r="V194" s="59"/>
      <x:c r="W194" s="59"/>
      <x:c r="X194" s="59"/>
      <x:c r="Y194" s="59"/>
      <x:c r="Z194" s="59"/>
    </x:row>
    <x:row r="195">
      <x:c r="A195" s="59"/>
      <x:c r="B195" s="59"/>
      <x:c r="C195" s="59"/>
      <x:c r="D195" s="59"/>
      <x:c r="E195" s="59"/>
      <x:c r="F195" s="59"/>
      <x:c r="G195" s="59"/>
      <x:c r="H195" s="59"/>
      <x:c r="I195" s="59"/>
      <x:c r="J195" s="59"/>
      <x:c r="K195" s="59"/>
      <x:c r="L195" s="59"/>
      <x:c r="M195" s="59"/>
      <x:c r="N195" s="59"/>
      <x:c r="O195" s="59"/>
      <x:c r="P195" s="59"/>
      <x:c r="Q195" s="59"/>
      <x:c r="R195" s="59"/>
      <x:c r="S195" s="59"/>
      <x:c r="T195" s="59"/>
      <x:c r="U195" s="59"/>
      <x:c r="V195" s="59"/>
      <x:c r="W195" s="59"/>
      <x:c r="X195" s="59"/>
      <x:c r="Y195" s="59"/>
      <x:c r="Z195" s="59"/>
    </x:row>
    <x:row r="196">
      <x:c r="A196" s="59"/>
      <x:c r="B196" s="59"/>
      <x:c r="C196" s="59"/>
      <x:c r="D196" s="59"/>
      <x:c r="E196" s="59"/>
      <x:c r="F196" s="59"/>
      <x:c r="G196" s="59"/>
      <x:c r="H196" s="59"/>
      <x:c r="I196" s="59"/>
      <x:c r="J196" s="59"/>
      <x:c r="K196" s="59"/>
      <x:c r="L196" s="59"/>
      <x:c r="M196" s="59"/>
      <x:c r="N196" s="59"/>
      <x:c r="O196" s="59"/>
      <x:c r="P196" s="59"/>
      <x:c r="Q196" s="59"/>
      <x:c r="R196" s="59"/>
      <x:c r="S196" s="59"/>
      <x:c r="T196" s="59"/>
      <x:c r="U196" s="59"/>
      <x:c r="V196" s="59"/>
      <x:c r="W196" s="59"/>
      <x:c r="X196" s="59"/>
      <x:c r="Y196" s="59"/>
      <x:c r="Z196" s="59"/>
    </x:row>
    <x:row r="197">
      <x:c r="A197" s="59"/>
      <x:c r="B197" s="59"/>
      <x:c r="C197" s="59"/>
      <x:c r="D197" s="59"/>
      <x:c r="E197" s="59"/>
      <x:c r="F197" s="59"/>
      <x:c r="G197" s="59"/>
      <x:c r="H197" s="59"/>
      <x:c r="I197" s="59"/>
      <x:c r="J197" s="59"/>
      <x:c r="K197" s="59"/>
      <x:c r="L197" s="59"/>
      <x:c r="M197" s="59"/>
      <x:c r="N197" s="59"/>
      <x:c r="O197" s="59"/>
      <x:c r="P197" s="59"/>
      <x:c r="Q197" s="59"/>
      <x:c r="R197" s="59"/>
      <x:c r="S197" s="59"/>
      <x:c r="T197" s="59"/>
      <x:c r="U197" s="59"/>
      <x:c r="V197" s="59"/>
      <x:c r="W197" s="59"/>
      <x:c r="X197" s="59"/>
      <x:c r="Y197" s="59"/>
      <x:c r="Z197" s="59"/>
    </x:row>
    <x:row r="198">
      <x:c r="A198" s="59"/>
      <x:c r="B198" s="59"/>
      <x:c r="C198" s="59"/>
      <x:c r="D198" s="59"/>
      <x:c r="E198" s="59"/>
      <x:c r="F198" s="59"/>
      <x:c r="G198" s="59"/>
      <x:c r="H198" s="59"/>
      <x:c r="I198" s="59"/>
      <x:c r="J198" s="59"/>
      <x:c r="K198" s="59"/>
      <x:c r="L198" s="59"/>
      <x:c r="M198" s="59"/>
      <x:c r="N198" s="59"/>
      <x:c r="O198" s="59"/>
      <x:c r="P198" s="59"/>
      <x:c r="Q198" s="59"/>
      <x:c r="R198" s="59"/>
      <x:c r="S198" s="59"/>
      <x:c r="T198" s="59"/>
      <x:c r="U198" s="59"/>
      <x:c r="V198" s="59"/>
      <x:c r="W198" s="59"/>
      <x:c r="X198" s="59"/>
      <x:c r="Y198" s="59"/>
      <x:c r="Z198" s="59"/>
    </x:row>
    <x:row r="199">
      <x:c r="A199" s="59"/>
      <x:c r="B199" s="59"/>
      <x:c r="C199" s="59"/>
      <x:c r="D199" s="59"/>
      <x:c r="E199" s="59"/>
      <x:c r="F199" s="59"/>
      <x:c r="G199" s="59"/>
      <x:c r="H199" s="59"/>
      <x:c r="I199" s="59"/>
      <x:c r="J199" s="59"/>
      <x:c r="K199" s="59"/>
      <x:c r="L199" s="59"/>
      <x:c r="M199" s="59"/>
      <x:c r="N199" s="59"/>
      <x:c r="O199" s="59"/>
      <x:c r="P199" s="59"/>
      <x:c r="Q199" s="59"/>
      <x:c r="R199" s="59"/>
      <x:c r="S199" s="59"/>
      <x:c r="T199" s="59"/>
      <x:c r="U199" s="59"/>
      <x:c r="V199" s="59"/>
      <x:c r="W199" s="59"/>
      <x:c r="X199" s="59"/>
      <x:c r="Y199" s="59"/>
      <x:c r="Z199" s="59"/>
    </x:row>
    <x:row r="200">
      <x:c r="A200" s="59"/>
      <x:c r="B200" s="59"/>
      <x:c r="C200" s="59"/>
      <x:c r="D200" s="59"/>
      <x:c r="E200" s="59"/>
      <x:c r="F200" s="59"/>
      <x:c r="G200" s="59"/>
      <x:c r="H200" s="59"/>
      <x:c r="I200" s="59"/>
      <x:c r="J200" s="59"/>
      <x:c r="K200" s="59"/>
      <x:c r="L200" s="59"/>
      <x:c r="M200" s="59"/>
      <x:c r="N200" s="59"/>
      <x:c r="O200" s="59"/>
      <x:c r="P200" s="59"/>
      <x:c r="Q200" s="59"/>
      <x:c r="R200" s="59"/>
      <x:c r="S200" s="59"/>
      <x:c r="T200" s="59"/>
      <x:c r="U200" s="59"/>
      <x:c r="V200" s="59"/>
      <x:c r="W200" s="59"/>
      <x:c r="X200" s="59"/>
      <x:c r="Y200" s="59"/>
      <x:c r="Z200" s="59"/>
    </x:row>
    <x:row r="201">
      <x:c r="A201" s="59"/>
      <x:c r="B201" s="59"/>
      <x:c r="C201" s="59"/>
      <x:c r="D201" s="59"/>
      <x:c r="E201" s="59"/>
      <x:c r="F201" s="59"/>
      <x:c r="G201" s="59"/>
      <x:c r="H201" s="59"/>
      <x:c r="I201" s="59"/>
      <x:c r="J201" s="59"/>
      <x:c r="K201" s="59"/>
      <x:c r="L201" s="59"/>
      <x:c r="M201" s="59"/>
      <x:c r="N201" s="59"/>
      <x:c r="O201" s="59"/>
      <x:c r="P201" s="59"/>
      <x:c r="Q201" s="59"/>
      <x:c r="R201" s="59"/>
      <x:c r="S201" s="59"/>
      <x:c r="T201" s="59"/>
      <x:c r="U201" s="59"/>
      <x:c r="V201" s="59"/>
      <x:c r="W201" s="59"/>
      <x:c r="X201" s="59"/>
      <x:c r="Y201" s="59"/>
      <x:c r="Z201" s="59"/>
    </x:row>
    <x:row r="202">
      <x:c r="A202" s="59"/>
      <x:c r="B202" s="59"/>
      <x:c r="C202" s="59"/>
      <x:c r="D202" s="59"/>
      <x:c r="E202" s="59"/>
      <x:c r="F202" s="59"/>
      <x:c r="G202" s="59"/>
      <x:c r="H202" s="59"/>
      <x:c r="I202" s="59"/>
      <x:c r="J202" s="59"/>
      <x:c r="K202" s="59"/>
      <x:c r="L202" s="59"/>
      <x:c r="M202" s="59"/>
      <x:c r="N202" s="59"/>
      <x:c r="O202" s="59"/>
      <x:c r="P202" s="59"/>
      <x:c r="Q202" s="59"/>
      <x:c r="R202" s="59"/>
      <x:c r="S202" s="59"/>
      <x:c r="T202" s="59"/>
      <x:c r="U202" s="59"/>
      <x:c r="V202" s="59"/>
      <x:c r="W202" s="59"/>
      <x:c r="X202" s="59"/>
      <x:c r="Y202" s="59"/>
      <x:c r="Z202" s="59"/>
    </x:row>
    <x:row r="203">
      <x:c r="A203" s="59"/>
      <x:c r="B203" s="59"/>
      <x:c r="C203" s="59"/>
      <x:c r="D203" s="59"/>
      <x:c r="E203" s="59"/>
      <x:c r="F203" s="59"/>
      <x:c r="G203" s="59"/>
      <x:c r="H203" s="59"/>
      <x:c r="I203" s="59"/>
      <x:c r="J203" s="59"/>
      <x:c r="K203" s="59"/>
      <x:c r="L203" s="59"/>
      <x:c r="M203" s="59"/>
      <x:c r="N203" s="59"/>
      <x:c r="O203" s="59"/>
      <x:c r="P203" s="59"/>
      <x:c r="Q203" s="59"/>
      <x:c r="R203" s="59"/>
      <x:c r="S203" s="59"/>
      <x:c r="T203" s="59"/>
      <x:c r="U203" s="59"/>
      <x:c r="V203" s="59"/>
      <x:c r="W203" s="59"/>
      <x:c r="X203" s="59"/>
      <x:c r="Y203" s="59"/>
      <x:c r="Z203" s="59"/>
    </x:row>
    <x:row r="204">
      <x:c r="A204" s="59"/>
      <x:c r="B204" s="59"/>
      <x:c r="C204" s="59"/>
      <x:c r="D204" s="59"/>
      <x:c r="E204" s="59"/>
      <x:c r="F204" s="59"/>
      <x:c r="G204" s="59"/>
      <x:c r="H204" s="59"/>
      <x:c r="I204" s="59"/>
      <x:c r="J204" s="59"/>
      <x:c r="K204" s="59"/>
      <x:c r="L204" s="59"/>
      <x:c r="M204" s="59"/>
      <x:c r="N204" s="59"/>
      <x:c r="O204" s="59"/>
      <x:c r="P204" s="59"/>
      <x:c r="Q204" s="59"/>
      <x:c r="R204" s="59"/>
      <x:c r="S204" s="59"/>
      <x:c r="T204" s="59"/>
      <x:c r="U204" s="59"/>
      <x:c r="V204" s="59"/>
      <x:c r="W204" s="59"/>
      <x:c r="X204" s="59"/>
      <x:c r="Y204" s="59"/>
      <x:c r="Z204" s="59"/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cc95852676a406e"/>
  </x:tableParts>
</x:worksheet>
</file>